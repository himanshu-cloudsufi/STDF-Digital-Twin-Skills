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dback &amp; Suggestions" sheetId="1" r:id="rId4"/>
    <sheet state="visible" name=" Energy - SWB + Coal + Natural " sheetId="2" r:id="rId5"/>
    <sheet state="visible" name="Passenger Cars - EV+ICE+PHEV" sheetId="3" r:id="rId6"/>
    <sheet state="visible" name="Two Wheelers - ICE+EV" sheetId="4" r:id="rId7"/>
    <sheet state="visible" name="Three Wheeler - ICE+EV" sheetId="5" r:id="rId8"/>
    <sheet state="visible" name="Commercial Vehicles" sheetId="6" r:id="rId9"/>
    <sheet state="visible" name="Datacenter UPS Batteries" sheetId="7" r:id="rId10"/>
    <sheet state="visible" name="Lead" sheetId="8" r:id="rId11"/>
    <sheet state="visible" name="Copper" sheetId="9" r:id="rId12"/>
  </sheets>
  <definedNames/>
  <calcPr/>
</workbook>
</file>

<file path=xl/sharedStrings.xml><?xml version="1.0" encoding="utf-8"?>
<sst xmlns="http://schemas.openxmlformats.org/spreadsheetml/2006/main" count="366" uniqueCount="314">
  <si>
    <t>Analysis Area</t>
  </si>
  <si>
    <t>Feedback/ Suggestion</t>
  </si>
  <si>
    <t>Question on Analysis</t>
  </si>
  <si>
    <t>Name</t>
  </si>
  <si>
    <t>SWB + coal+ natural gas</t>
  </si>
  <si>
    <t>1) [Compare with Incumbent LCOE] - If possible use regional LCOE calculations to make out assumptions here. E.g. cost of coal in China is not same as coal in Europe</t>
  </si>
  <si>
    <t>Peter</t>
  </si>
  <si>
    <t>2) [Apply Displacement Sequence] Consider current governemnt policy or possible changes shielding industry that might impact displacement beyond pure economics</t>
  </si>
  <si>
    <t>3) [ Forecasting power demand] (1) We should run a sensitivity test around this as it's a big driver of the model (2) consider if there is any chance that could happen from hortorical demand growth (de-industrialisation, industrialisation, AC, AIDC etc) - this might feed into sensitivity</t>
  </si>
  <si>
    <t>4) [Peak load] Do we have the correct calculation here?</t>
  </si>
  <si>
    <t>5) [General Mechanism of Models] - Assume SWB will fill all additional demand (unless there are already stated non-swb additions for next 12 months) - then displace coal with additional capacity from SWB according to a replacement cycle outlined (gas/coal depending on country)</t>
  </si>
  <si>
    <t>6) [Apply Displacement Sequence] - Run sensitivity on replacement (coal first, gas first, both at the same time) to compare results</t>
  </si>
  <si>
    <t>Step #</t>
  </si>
  <si>
    <t>Step Title</t>
  </si>
  <si>
    <t>Step Description</t>
  </si>
  <si>
    <t>Key Outputs</t>
  </si>
  <si>
    <t>Select Region &amp; Load Datasets</t>
  </si>
  <si>
    <t>Start with a specific region (China, USA, etc.). Load all required historical datasets for cost, capacity, generation, and demand.</t>
  </si>
  <si>
    <t>Input data tables</t>
  </si>
  <si>
    <t>Forecast Cost Curves</t>
  </si>
  <si>
    <t>Apply log(Cost) transformation → compute long-run CAGR → forecast to 2040 → exponentiate back to normal cost levels.</t>
  </si>
  <si>
    <t>Forecasted LCOE for Solar, Wind, and Battery</t>
  </si>
  <si>
    <t>Compute Battery SCOE</t>
  </si>
  <si>
    <t>Use formula: SCOE = (Capex × 1000) / (Cycles × Duration × RTE) + Fixed O&amp;M. This gives levelized cost per MWh of battery discharge.</t>
  </si>
  <si>
    <t>SCOE ($/MWh)</t>
  </si>
  <si>
    <t>Compute SWB Stack Cost</t>
  </si>
  <si>
    <t>Combine costs of Solar, Wind, and SCOE using conservative (max) or weighted average approach.</t>
  </si>
  <si>
    <t>SWB Stack Cost ($/MWh)</t>
  </si>
  <si>
    <t>Compare with Incumbent LCOE</t>
  </si>
  <si>
    <t>Use either dataset or fallback values for coal/gas LCOE. Compare with SWB cost to find first tipping year.</t>
  </si>
  <si>
    <t>Tipping Point Year</t>
  </si>
  <si>
    <t>Forecast Electricity Demand</t>
  </si>
  <si>
    <t>Calculate average YoY growth from historical demand. Forecast forward to 2040.</t>
  </si>
  <si>
    <t>Forecasted Demand (TWh)</t>
  </si>
  <si>
    <t>Estimate Peak Load</t>
  </si>
  <si>
    <t>Use formula: Peak Load = Demand × 1000 / 8760 × Load Factor. This proxies maximum system load.</t>
  </si>
  <si>
    <t>Peak Load (GW)</t>
  </si>
  <si>
    <t>Forecast SWB Installed Capacity</t>
  </si>
  <si>
    <t>Forecast installed capacity for Solar, Wind, and Battery using historical CAGR.</t>
  </si>
  <si>
    <t>Forecasted Capacity (GW / GWh)</t>
  </si>
  <si>
    <t>Convert to Generation (TWh)</t>
  </si>
  <si>
    <t>Use: Generation = Capacity × Capacity Factor × 8760. Apply regional CFs to derive energy output.</t>
  </si>
  <si>
    <t>SWB Generation (TWh)</t>
  </si>
  <si>
    <t>Forecast Battery Throughput</t>
  </si>
  <si>
    <t>Compute annual battery energy discharge: Throughput = Energy Capacity × Cycles/year / 1000.</t>
  </si>
  <si>
    <t>Battery Throughput (TWh/year)</t>
  </si>
  <si>
    <t>Estimate Non-SWB Generation</t>
  </si>
  <si>
    <t>Include nuclear, hydro, or other fixed sources. If unavailable, derive from residuals in early years.</t>
  </si>
  <si>
    <t>Non-SWB Generation (TWh)</t>
  </si>
  <si>
    <t>Compute Residual Demand</t>
  </si>
  <si>
    <t>Subtract SWB and non-SWB generation from total demand. Residual = what coal/gas must meet.</t>
  </si>
  <si>
    <t>Residual Generation (TWh)</t>
  </si>
  <si>
    <t>Apply Displacement Sequence</t>
  </si>
  <si>
    <t>Displace coal and gas based on region’s policy: Coal-first or Gas-first. Respect reserve floors.</t>
  </si>
  <si>
    <t>Coal &amp; Gas Generation (TWh)</t>
  </si>
  <si>
    <t>Battery Power Sizing</t>
  </si>
  <si>
    <t>Compute battery power capacity: Power = Energy / Duration. Align with cost dataset default (e.g. 4 hrs).</t>
  </si>
  <si>
    <t>Power Capacity (GW)</t>
  </si>
  <si>
    <t>Generate Outputs</t>
  </si>
  <si>
    <t>Compile results: costs, capacities, generation, tipping year, demand, emissions (optional), global aggregates.</t>
  </si>
  <si>
    <t>Final structured outputs</t>
  </si>
  <si>
    <t>Select Region &amp; Load Data</t>
  </si>
  <si>
    <t>Work on each region (e.g., China, USA, Europe) independently. Load datasets for historical costs and sales volumes.</t>
  </si>
  <si>
    <t>Region name, datasets loaded</t>
  </si>
  <si>
    <t>Forecast Cost Curves (EV vs ICE)</t>
  </si>
  <si>
    <t>Convert EV and ICE cost time series to log(cost) → compute long-term CAGR → forecast forward → exponentiate back. Smooth with 3-year rolling median.</t>
  </si>
  <si>
    <t>Forecasted cost curves for EV and ICE</t>
  </si>
  <si>
    <t>Determine Tipping Point</t>
  </si>
  <si>
    <t>Identify the first year when forecasted EV cost &lt; ICE cost. If always lower: use earliest year. If never lower: tipping = None.</t>
  </si>
  <si>
    <t>Forecast Market Demand</t>
  </si>
  <si>
    <t>Start from Passenger_Vehicle_Annual_Sales_&lt;Region&gt; dataset. Use robust linear extrapolation method.</t>
  </si>
  <si>
    <t>Forecasted total market sales (to 2040)</t>
  </si>
  <si>
    <t>Estimate Historical EV Share</t>
  </si>
  <si>
    <t>Calculate BEV share = BEV sales / total sales. Skip zero-market years. Extend share linearly to tipping if tipping is in future.</t>
  </si>
  <si>
    <t>EV share history + projected pre-tipping share</t>
  </si>
  <si>
    <t>Forecast BEV Adoption (Post-Tipping)</t>
  </si>
  <si>
    <t>Fit logistic curve on share: s(t) = L / (1 + exp(-k(t - t₀))) using evolutionary optimization. Convert share to BEV sales.</t>
  </si>
  <si>
    <t>Forecasted BEV sales</t>
  </si>
  <si>
    <t>Forecast PHEV Sales (Chimera)</t>
  </si>
  <si>
    <t>Use dataset if available. Else, model a “hump” curve: rise till tipping, then decay with ~3-year half-life. Keep smooth &amp; realistic.</t>
  </si>
  <si>
    <t>Forecasted PHEV sales</t>
  </si>
  <si>
    <t>Compute ICE Sales (Residual)</t>
  </si>
  <si>
    <t>Calculate ICE = max(Market − BEV − PHEV, 0). Ensure ICE remains non-negative and capped at market demand.</t>
  </si>
  <si>
    <t>Forecasted ICE sales</t>
  </si>
  <si>
    <t>Compute Total EV Sales</t>
  </si>
  <si>
    <t>Add BEV + PHEV to get total EV demand. Clamp total to market size.</t>
  </si>
  <si>
    <t>BEV + PHEV = EV sales</t>
  </si>
  <si>
    <t>Validation &amp; Cleanup</t>
  </si>
  <si>
    <t>Clamp shares to [0, 1], ensure BEV + PHEV + ICE ≤ Market, validate all forecasts are non-negative and stable.</t>
  </si>
  <si>
    <t>Clean and internally consistent time series</t>
  </si>
  <si>
    <t>Work on each region (China, Europe, USA, Rest_of_World) independently. For the chosen region, load all relevant historical datasets: total 2W sales, EV 2W sales, ICE 2W sales (if available), EV and ICE fleets (if available), and cost series (EV_2_Wheeler_(Range-100_KM)_Lowest_Cost_&lt;Region&gt;, Two_Wheeler_(EV)_Median_Cost_&lt;Region&gt;, Two_Wheeler_(ICE)_Median_Cost_&lt;Region&gt;). Align year range across all series.</t>
  </si>
  <si>
    <t>Region name, list of datasets loaded and aligned years</t>
  </si>
  <si>
    <t>Prepare &amp; Harmonize Cost Series</t>
  </si>
  <si>
    <t>Convert all cost series to a common real currency (e.g., 2023 USD). Ensure EV and ICE cost refer to comparable segments. Handle missing values (interpolate where reasonable, else mark gaps) and align years. Decide which EV cost series will be primary (lowest cost) and which will be supporting (median cost) for sensitivity.</t>
  </si>
  <si>
    <t>Clean, aligned EV (lowest + median) and ICE median cost series in real terms</t>
  </si>
  <si>
    <t>For each cost series (EV-lowest, EV-median, ICE-median): transform to log(cost), compute long-term CAGR over a stable historical window, forecast forward to 2040 in log-space, then exponentiate back. Apply a 3-year rolling median smoothing over historical+forecast series to remove noise.</t>
  </si>
  <si>
    <t>Smoothed and forecasted cost curves for EV (lowest + median) and ICE</t>
  </si>
  <si>
    <t>Using the smoothed, forecasted EV-lowest and ICE-median cost curves, identify the first year when Cost_EV_lowest &lt;= Cost_ICE_median. If EV has always been cheaper in the available window, set tipping year to the earliest historical year. If EV never becomes cheaper by 2040, set tipping year = None. Optionally, compute a secondary tipping using EV-median vs ICE-median for sensitivity.</t>
  </si>
  <si>
    <t>Primary tipping year (EV-lowest vs ICE-median), optional secondary tipping year</t>
  </si>
  <si>
    <t>Forecast Total Two-Wheeler Market Demand</t>
  </si>
  <si>
    <t>Start from Two_Wheeler_Annual_Sales_&lt;Region&gt;. Smooth if highly volatile (e.g., 3-year rolling median) and fit a robust long-term trend (Theil–Sen / robust linear regression) of sales vs year. Extrapolate to 2040. Enforce non-negative demand and clamp long-run CAGR into a sensible range (e.g., between −5% and +5% per year).</t>
  </si>
  <si>
    <t>Two_Wheeler_Annual_Sales_&lt;Region&gt;_Forecast (total 2W market to 2040)</t>
  </si>
  <si>
    <t>Estimate Historical EV Share &amp; Pre-Tipping Share</t>
  </si>
  <si>
    <t>Using Two_Wheeler_(EV)_Annual_Sales_&lt;Region&gt; and total sales, compute EV_share(y) = EV_sales / total_2W_sales for all valid years; skip years with zero or missing total sales. Clip shares to [0,1]. If the tipping year is after the last historical year, extend EV share to the tipping year using a simple linear (or low-order polynomial) trend, clipped to [0,1].</t>
  </si>
  <si>
    <t>Historical EV share series + extended pre-tipping EV share up to tipping year (if needed)</t>
  </si>
  <si>
    <t>Forecast EV Adoption (Post-Tipping)</t>
  </si>
  <si>
    <t>Fit a logistic curve for EV share: s(t) = L / (1 + exp(-k·(t − t₀))), where L is long-run ceiling (e.g., 1.0 or 0.9), k is slope, t₀ is mid-point year. Use historical EV shares plus pre-tipping extension (and any early post-tipping points) to fit parameters under sensible bounds. If fitting fails, use a heuristic S-curve: slow growth pre-tipping, fast growth around tipping, saturation by ~2035–2040. Multiply share by total market forecast to get EV sales.</t>
  </si>
  <si>
    <t>EV share curve to 2040 and Two_Wheeler_(EV)_Annual_Sales_&lt;Region&gt;_Forecast</t>
  </si>
  <si>
    <t>For each year, compute ICE sales as the residual: ICE_sales_fore(y) = max(Total_2W_sales_fore(y) − EV_sales_fore(y), 0). Ensure that ICE sales never become negative and that EV_sales_fore + ICE_sales_fore does not exceed total market beyond a small numerical tolerance.</t>
  </si>
  <si>
    <t>Two_Wheeler_(ICE)_Annual_Sales_&lt;Region&gt;_Forecast (incumbent demand)</t>
  </si>
  <si>
    <t>Fleet Consistency Checks (EV &amp; ICE)</t>
  </si>
  <si>
    <t>Using EV and ICE annual sales forecasts plus assumed lifetime/scrappage curves, construct implied fleets over time and compare to Two_Wheeler_(EV)_Total_Fleet_&lt;Region&gt; and Two_Wheeler_(ICE)_Total_Fleet_&lt;Region&gt; (where available). Adjust lifetime / scrappage assumptions if fleets diverge systematically. Ensure fleet evolves as: Fleet(y) = Fleet(y−1) + Sales(y) − Scrappage(y).</t>
  </si>
  <si>
    <t>Consistent EV and ICE fleet trajectories aligned with sales forecasts (per region)</t>
  </si>
  <si>
    <t>Validation, Aggregation &amp; Lead Linkage Stub</t>
  </si>
  <si>
    <t>Final sanity checks: clamp all shares to [0,1]; ensure EV_sales + ICE_sales ≤ Total_2W_sales; verify no negative values in any series; check for smooth transitions around tipping year. Aggregate regional EV/ICE/total sales to Global. Optionally, prepare linkage to lead implied demand series by tagging which parts of EV/ICE fleets use lead batteries for downstream lead-module calculations.</t>
  </si>
  <si>
    <t>Clean, internally consistent EV/ICE/total sales time series per region and Global; ready for commodity modules (e.g., lead)</t>
  </si>
  <si>
    <t>Work on each region (China, Europe, Rest_of_World) independently. For the chosen region, load: Three_Wheeler_Annual_Sales_&lt;Region&gt;, Three_Wheeler_(EV)_Annual_Sales_&lt;Region&gt;, Three_Wheeler_(ICE)_Annual_Sales_&lt;Region&gt; (if available), EV and ICE fleet datasets, and all cost series (EV_3_Wheeler_(Range-100_KM)_Lowest_Cost_&lt;Region&gt;, Three_Wheeler_(EV)_Median_Cost_&lt;Region&gt;, Three_Wheeler_(ICE)_Median_Cost_&lt;Region&gt;). Align years across all series.</t>
  </si>
  <si>
    <t>Region name, aligned datasets and common year range</t>
  </si>
  <si>
    <t>Convert EV and ICE cost series to a common real currency (e.g., 2023 USD). Check comparability of vehicle segment/use-case. Handle missing values via interpolation or by marking gaps. Decide which EV cost series is primary (lowest cost) and which is supporting (median cost) for sensitivity analysis.</t>
  </si>
  <si>
    <t>Clean, harmonized EV-lowest, EV-median, and ICE-median cost series per region</t>
  </si>
  <si>
    <t>For each cost series: transform to log(cost), compute long-term CAGR over a stable historical window, and extrapolate to 2040 in log-space. Exponentiate back to get forecast cost. Apply a 3-year rolling median to the combined historical+forecast series to reduce noise.</t>
  </si>
  <si>
    <t>Smoothed, forecasted EV and ICE cost curves to 2040</t>
  </si>
  <si>
    <t>Using forecasted, smoothed cost curves, identify the first year where EV_3_Wheeler_(Range-100_KM)_Lowest_Cost_&lt;Region&gt; &lt;= Three_Wheeler_(ICE)_Median_Cost_&lt;Region&gt;. If EV is always cheaper, set tipping = first historical year. If EV never becomes cheaper by 2040, set tipping = None. Optionally compute a secondary tipping using EV-median vs ICE-median.</t>
  </si>
  <si>
    <t>Primary tipping year (and optional secondary tipping year) per region</t>
  </si>
  <si>
    <t>Start from Three_Wheeler_Annual_Sales_&lt;Region&gt;. Smooth if very noisy. Fit a robust long-term trend (Theil–Sen / robust linear regression) of sales vs year. Extrapolate to 2040, enforcing non-negative values and keeping long-run CAGR between roughly −5% and +5% per year. Sum regional forecasts to build a Global forecast and compare with Three_Wheeler_Annual_Sales_Global as a sanity check.</t>
  </si>
  <si>
    <t>Three_Wheeler_Annual_Sales_&lt;Region&gt;_Forecast and derived Global forecast</t>
  </si>
  <si>
    <t>Use Three_Wheeler_(EV)_Annual_Sales_&lt;Region&gt; and total sales to compute EV_share(y) = EV_sales / total_sales. Skip years with zero/undefined total sales and clip shares to [0,1]. If the tipping year is after the last historical year, extend EV share to the tipping year using a simple linear (or low-order polynomial) trend, again clipped to [0,1].</t>
  </si>
  <si>
    <t>Historical EV share series and pre-tipping EV share extension (if required)</t>
  </si>
  <si>
    <t>Fit a logistic curve for EV share: s(t) = L / (1 + exp(-k · (t − t₀))) using historical EV share + pre-tipping extension (+ early post-tipping points if any). Constrain L, k, and t₀ to sensible ranges and loosely anchor t₀ near the tipping year. If fitting fails, use a rule-based S-curve (slow growth pre-tipping, rapid growth around tipping, saturation near L by 2035–2040).</t>
  </si>
  <si>
    <t>EV share curve share_EV_fore(y) for each region to 2040</t>
  </si>
  <si>
    <t>Convert EV Share to EV Sales</t>
  </si>
  <si>
    <t>For each forecast year, compute EV sales as Three_Wheeler_(EV)_Annual_Sales_&lt;Region&gt;_Forecast(y) = share_EV_fore(y) * Three_Wheeler_Annual_Sales_&lt;Region&gt;_Forecast(y). Clamp EV sales to be between 0 and total market sales for that year.</t>
  </si>
  <si>
    <t>Three_Wheeler_(EV)_Annual_Sales_&lt;Region&gt;_Forecast</t>
  </si>
  <si>
    <t>Compute ICE Sales (Residual) &amp; Fleet Checks</t>
  </si>
  <si>
    <t>Compute ICE sales as residual: Three_Wheeler_(ICE)_Annual_Sales_&lt;Region&gt;_Forecast = max(Total_3W_sales_fore − EV_sales_fore, 0). Use historical and forecast ICE sales with a lifetime/scrappage curve to reconstruct ICE fleet and compare with Three_Wheeler_(ICE)_Total_Fleet_&lt;Region&gt;. Adjust lifetime assumptions if fleets deviate systematically.</t>
  </si>
  <si>
    <t>Three_Wheeler_(ICE)_Annual_Sales_&lt;Region&gt;_Forecast and consistent ICE fleet paths</t>
  </si>
  <si>
    <t>EV Fleet Consistency, Validation &amp; Lead Linkage</t>
  </si>
  <si>
    <t>Similarly, reconstruct EV fleet using EV sales and a lifetime curve, and compare with Three_Wheeler_(EV)_Total_Fleet_&lt;Region&gt;. Adjust assumptions if needed. Run final sanity checks: clamp all shares to [0,1]; ensure EV_sales + ICE_sales ≤ Total_3W_sales; ensure no negative values; transitions around tipping should be smooth. Aggregate regional EV/ICE/total sales and fleets to Global, and (optionally) prepare linkages to Lead_Annual_Implied_Demand-Sales_3_wheelers_Global and Lead_Annual_Implied_Demand-Vehicle_replacement_3_wheelers_Global for the lead module.</t>
  </si>
  <si>
    <t>Clean, internally consistent EV/ICE/total 3W sales and fleets per region and Global, ready for commodity impact (Lead)</t>
  </si>
  <si>
    <t>For each region (China, Europe, USA, Rest_of_World), load all commercial vehicle datasets: aggregate (Commercial_Vehicle_Annual_Sales_*, powertrain splits &amp; fleets, EV median cost) and segment-level data (Light, Medium, Heavy duty sales, EV/ICE/NGV splits, segment EV “lowest cost” and ICE price series, segment EV/ICE fleets, NGV sales, NGV fleets). Align years across all series.</t>
  </si>
  <si>
    <t>Region name, list of loaded datasets, common year range</t>
  </si>
  <si>
    <t>Build Segment-Level Base Sales &amp; Check vs Aggregate Market</t>
  </si>
  <si>
    <t>For each segment (LD, MD, HD), compute total sales per year as EV + ICE + NGV. Sum segment totals and compare with Commercial_Vehicle_Annual_Sales_&lt;Region&gt; to check consistency. Decide to use segment totals as primary drivers and treat aggregate CV series as sanity checks. Flag years or regions where segment sum and aggregate diverge strongly.</t>
  </si>
  <si>
    <t>Segment total sales series (LD, MD, HD), comparison vs aggregate CV</t>
  </si>
  <si>
    <t>Prepare &amp; Harmonize Cost Series per Segment</t>
  </si>
  <si>
    <t>For each segment &amp; region, assemble EV and ICE cost series: EV parity costs (LCV/MCV/HCV_commercial_vehicle_(Range-*_KM)_Lowest_Cost_&lt;Region&gt;) and segment ICE prices (Light/Medium/Heavy_Duty_Commercial_Vehicle_(ICE)_Price_&lt;Region&gt;). Convert all costs to a common real currency (e.g., 2023 USD), align years, handle missing values, and treat CV-level EV median cost as a supporting reference only.</t>
  </si>
  <si>
    <t>Clean, harmonized EV &amp; ICE cost series per segment and region</t>
  </si>
  <si>
    <t>Forecast Cost Curves &amp; Determine Tipping per Segment</t>
  </si>
  <si>
    <t>For each EV and ICE cost series, transform to log(cost), fit a long-term trend (CAGR) over a stable window, and forecast to 2040, then exponentiate and smooth (3-year rolling median). For each segment &amp; region, find the first year when EV parity cost ≤ ICE cost (primary tipping). If EV is always cheaper, tipping = first historical year; if never cheaper, tipping = None. Store tipping years for LD, MD, HD.</t>
  </si>
  <si>
    <t>Tipping_Year_Light_&lt;Region&gt;, Tipping_Year_Medium_&lt;Region&gt;, Tipping_Year_Heavy_&lt;Region&gt;</t>
  </si>
  <si>
    <t>Forecast Segment-Level Market Demand</t>
  </si>
  <si>
    <t>For each segment &amp; region, use historical segment total sales (EV + ICE + NGV). Smooth if noisy, fit a robust trend (Theil–Sen / robust linear regression), and extrapolate to 2040 with non-negative values and CAGR constrained to ~±5% p.a. Sum segment forecasts and compare to a separate forecast from Commercial_Vehicle_Annual_Sales_&lt;Region&gt; if desired; investigate any large differences.</t>
  </si>
  <si>
    <t>LD/MD/HD_Total_Sales_Fore_&lt;Region&gt; to 2040, with comparison vs aggregate CV</t>
  </si>
  <si>
    <t>Estimate Historical EV &amp; NGV Shares per Segment</t>
  </si>
  <si>
    <t>For each segment &amp; region, compute share_EV = EV_sales / segment_total_sales, share_NGV = NGV_sales / segment_total_sales, and implied share_ICE = 1 − EV − NGV. Skip zero-sales years and clip all shares to [0,1]. Smooth if extremely noisy. These give baseline trajectories for EV (disruptor), NGV (chimera), and ICE (incumbent) within each segment.</t>
  </si>
  <si>
    <t>Historical EV, NGV, ICE share series per segment &amp; region</t>
  </si>
  <si>
    <t>Extend EV Shares to Tipping &amp; Fit Logistic EV Adoption</t>
  </si>
  <si>
    <t>For segments where tipping is in the future, extend EV share from last historical year to tipping year via a simple linear (or low-order polynomial) trend clipped to [0,1]. Then, fit a logistic curve for EV share: s_EV(t) = L / (1 + exp(-k(t − t₀))) using historical + extended pre-tipping data, with sensible bounds on L, k, and t₀ and t₀ anchored near tipping. If fitting fails, use a rule-based S-curve anchored to tipping and saturating by 2035–2040.</t>
  </si>
  <si>
    <t>EV share curve share_EV_S_fore(y) for LD, MD, HD per region</t>
  </si>
  <si>
    <t>Model NGV “Chimera Hump” per Segment</t>
  </si>
  <si>
    <t>For each segment &amp; region, use historical NGV shares as a base. Fit or impose a hump-shaped profile: NGV share can rise toward a peak around or before the EV tipping year, then decline with an exponential half-life of ~3–7 years, approaching near zero by late horizon. Ensure NGV share stays within [0,1] and is compatible with EV and ICE shares.</t>
  </si>
  <si>
    <t>NGV share curves share_NGV_S_fore(y) per segment &amp; region</t>
  </si>
  <si>
    <t>Derive ICE Shares &amp; Convert Shares to Sales</t>
  </si>
  <si>
    <t>Compute share_ICE_S_fore(y) = max(1 − share_EV_S_fore(y) − share_NGV_S_fore(y), 0) and renormalize if needed. For each year, segment, and region, convert shares to sales: EV_Sales = share_EV * segment_total_sales_fore, NGV_Sales = share_NGV * segment_total_sales_fore, ICE_Sales = share_ICE * segment_total_sales_fore. Clamp to non-negative; ensure EV+NGV+ICE ≈ segment total.</t>
  </si>
  <si>
    <t>EV, NGV, ICE sales forecasts per segment &amp; region</t>
  </si>
  <si>
    <t>Fleet Consistency (EV / NGV / ICE)</t>
  </si>
  <si>
    <t>Using segment-level EV &amp; ICE fleets (`Light/Medium/Heavy_Duty_Commercial_Vehicle_(EV</t>
  </si>
  <si>
    <t>ICE)Total_Fleet) and aggregate NGV fleets (Commercial_Vehicle_(NGV)Total_Fleet), reconstruct historical fleets from sales with assumed lifetimes and scrappage, then compare to dataset fleets. Adjust lifetime parameters until fleets align reasonably. In forecasts, ensure Fleet = Fleet_prev + Sales_fore − Scrappage`.</t>
  </si>
  <si>
    <t>Aggregate Segment Forecasts to Total Commercial Vehicles</t>
  </si>
  <si>
    <t>For each region and year, sum segment totals to get Commercial_Vehicle_Annual_Sales_&lt;Region&gt;_From_Segments_Fore. Also sum EV/NGV/ICE by segment to get aggregate CV EV, NGV, ICE sales forecasts. Compare these with aggregate series (`Commercial_Vehicle_(EV</t>
  </si>
  <si>
    <t>ICE</t>
  </si>
  <si>
    <t>Validation, Cleanup &amp; Lead Demand Linkage</t>
  </si>
  <si>
    <t>Final sanity checks: ensure shares in [0,1], no negative sales or fleets, and smooth transitions around tipping. Verify that EV+NGV+ICE per segment ≈ segment total and that segment sums ≈ aggregate CV totals. Aggregate regional fleets and map EV/NGV/ICE CV fleets and sales into lead demand curves: Lead_Annual_Implied_Demand-Sales_Commercial_vehicles_Global, Lead_Annual_Implied_Demand-Vehicle_replacement_Commercial_Global, and align with buses via Lead_Annual_Implied_Demand-Sales_Buses_Global.</t>
  </si>
  <si>
    <t>Clean, internally consistent CV demand &amp; fleet forecasts plus linkages to global lead implied demand</t>
  </si>
  <si>
    <t>Define Scope &amp; Load Datasets</t>
  </si>
  <si>
    <t>Choose region (China, USA, Europe, RoW). Load cost, demand, and growth data. Distinguish between annual demand (MWh/year) and installed base (MWh stock).</t>
  </si>
  <si>
    <t>Region scope, datasets loaded</t>
  </si>
  <si>
    <t>Determine Cost Parity (Tipping Point)</t>
  </si>
  <si>
    <t>Compute Total Cost of Ownership (TCO) for Li-ion and VRLA using CapEx + OpEx + replacement costs. Tipping = first year Li-ion TCO ≤ VRLA TCO for ≥3 consecutive years.</t>
  </si>
  <si>
    <t>Tipping Year</t>
  </si>
  <si>
    <t>Decompose Market Demand</t>
  </si>
  <si>
    <t>Split total UPS battery demand into: New Builds + Replacements. Use total demand datasets for validation only (not input constraint).</t>
  </si>
  <si>
    <t>New Build (MWh/year), Replacement (MWh/year)</t>
  </si>
  <si>
    <t>Track Installed Base &amp; Retirements</t>
  </si>
  <si>
    <t>Maintain Li-ion and VRLA installed base. Model retirements using lifespan (Li-ion = 12y, VRLA = 5y). Replacement demand comes from retiring stock.</t>
  </si>
  <si>
    <t>Annual installed base and retirements</t>
  </si>
  <si>
    <t>Adoption Modeling (S-curve)</t>
  </si>
  <si>
    <t>Use logistic adoption model: Li-ion share M(t) = L / (1 + exp(−k(t − t₀))). Calibrate k to Cost_Advantage (Li-ion TCO − VRLA TCO). Split adoption across new builds and replacements.</t>
  </si>
  <si>
    <t>Li-ion and VRLA share forecasts</t>
  </si>
  <si>
    <t>Battery Duration &amp; Power Metrics (optional)</t>
  </si>
  <si>
    <t>Use duration (default 4h) to derive power capacity from energy, and compute throughput (TWh/year). Can support material intensity or grid impact analysis.</t>
  </si>
  <si>
    <t>Power (GW), Throughput (TWh), optional</t>
  </si>
  <si>
    <t>New Build Forecasting</t>
  </si>
  <si>
    <t>Use datacenter growth projections to forecast total demand. Derive new build = Total Market − Replacements. If growth rates unavailable, apply CAGR.</t>
  </si>
  <si>
    <t>Annual New Build demand (MWh/year)</t>
  </si>
  <si>
    <t>Replacement Forecasting</t>
  </si>
  <si>
    <t>Compute replacements using contestable retirements from installed base. Li-ion replacements = M(t) × Contestable.</t>
  </si>
  <si>
    <t>Annual Replacement demand (MWh/year)</t>
  </si>
  <si>
    <t>Apply Recommended Defaults</t>
  </si>
  <si>
    <t>Use standardized values where data is missing (e.g., VRLA cost = $220/kWh, Li-ion learning rate = 6–12%, OpEx defaults).</t>
  </si>
  <si>
    <t>Complete model inputs</t>
  </si>
  <si>
    <t>Validate &amp; Reconcile Outputs</t>
  </si>
  <si>
    <t>Check mass balance of adds − retirements vs stock. Ensure forecast logic (e.g., increasing adoption with cost advantage) and output reasonableness.</t>
  </si>
  <si>
    <t>Validated forecasts with &lt;0.1% error</t>
  </si>
  <si>
    <t>Output Generation</t>
  </si>
  <si>
    <t>Export: tipping flag, technology shares, capacity demand by source, retirements, installed base, pricing, revenues, and cost advantage per year.</t>
  </si>
  <si>
    <t>Final structured dataset</t>
  </si>
  <si>
    <t>Global Aggregation</t>
  </si>
  <si>
    <t>Aggregate regional outputs for Global using: Global = China + USA + Europe + RoW. Avoid double counting.</t>
  </si>
  <si>
    <t>Global demand and adoption curve</t>
  </si>
  <si>
    <t>Scope &amp; Objectives</t>
  </si>
  <si>
    <t>Define the forecast horizon, granularity (global, sub-segments), and primary units. Demand = new-build + replacement.</t>
  </si>
  <si>
    <t>Defined scope; forecasting framework foundation</t>
  </si>
  <si>
    <t>Top-Level Forecast Identity</t>
  </si>
  <si>
    <t>Define the main forecasting identity: Total_Lead_Demand = Demand_Battery + Demand_Other_Uses. Battery demand constitutes ~85% of refined lead use.</t>
  </si>
  <si>
    <t>Overall model identity separating battery/others</t>
  </si>
  <si>
    <t>Battery Demand Decomposition</t>
  </si>
  <si>
    <t>Break Demand_Battery into Demand_SLI and Demand_Industrial. Each has new-build (OEM/Install) and replacement flows.</t>
  </si>
  <si>
    <t>Hierarchical structure of battery-related demand</t>
  </si>
  <si>
    <t>Segment-Level Demand Identity</t>
  </si>
  <si>
    <t>Express each segment’s demand as: Demand_Segment(t) = New_Build_Demand(t) + Replacement_Demand(t).</t>
  </si>
  <si>
    <t>Uniform segment-level demand logic</t>
  </si>
  <si>
    <t>Installed-Base Accounting &amp; Lifetimes</t>
  </si>
  <si>
    <t>Use IB(t+1) = IB(t) + Adds - replacemnets; derive replacements via IB / battery_life.</t>
  </si>
  <si>
    <t>Installed base trajectories and replacement demand</t>
  </si>
  <si>
    <t>New-Build Modeling</t>
  </si>
  <si>
    <t>Estimate new-build demand using new asset sales/installations × lead coefficients (kg/unit or kg/MWh).</t>
  </si>
  <si>
    <t>SLI OEM, Motive new, and Stationary new demand</t>
  </si>
  <si>
    <t>Replacement Modeling</t>
  </si>
  <si>
    <t>Estimate contestable batteries and compute replacements using IB / battery_lifetime × kg/unit.</t>
  </si>
  <si>
    <t>SLI, Motive, and Stationary replacement demand</t>
  </si>
  <si>
    <t>Other Uses Modeling</t>
  </si>
  <si>
    <t>Forecast ~15% "Other Uses" via lienar regression</t>
  </si>
  <si>
    <t>Forecast of non-battery industrial uses</t>
  </si>
  <si>
    <t>Data Mapping &amp; Fallbacks</t>
  </si>
  <si>
    <t>Identify required inputs (sales, stocks, lifespans); define fallback logic for missing coefficients or IB.</t>
  </si>
  <si>
    <t>Complete input map; fallback/assumption rules</t>
  </si>
  <si>
    <t>Aggregation</t>
  </si>
  <si>
    <t>Sum all components.</t>
  </si>
  <si>
    <t>Full lead demand forecast</t>
  </si>
  <si>
    <t>Inputs</t>
  </si>
  <si>
    <t>Equation (concise)</t>
  </si>
  <si>
    <t>Guardrails</t>
  </si>
  <si>
    <t>Outputs</t>
  </si>
  <si>
    <t>Forecasting identities</t>
  </si>
  <si>
    <t>Define the equations used throughout the forecast; every segment equals OEM + Replacement; total equals sum of segments.</t>
  </si>
  <si>
    <t>N/A</t>
  </si>
  <si>
    <t>Total(t) = Grid(t) + Construction(t) + Automotive(t) + Industrial(t) + Electronics(t) + OtherUses(t); S(t) = S_OEM(t) + S_Repl(t)</t>
  </si>
  <si>
    <t>Keep identities fixed across scenarios; units = tonnes/year.</t>
  </si>
  <si>
    <t>Equation set to be referenced downstream.</t>
  </si>
  <si>
    <t>Annual Installed Base (IB) updates</t>
  </si>
  <si>
    <t>Build forward Installed Base (IB) for assets that drive replacement flows.</t>
  </si>
  <si>
    <t>Prior-year IB for each asset; Adds/new builds; lifetimes</t>
  </si>
  <si>
    <t>IB_A(t) = IB_A(t−1) + Adds_A(t) − Scrappage_A(t); Scrappage_A(t) ≈ IB_A(t−1) / Life_Asset_A</t>
  </si>
  <si>
    <t>Clamp IB ≥ 0; smooth Adds with 3-yr rolling median if noisy.</t>
  </si>
  <si>
    <t>IB time series (T&amp;D km, transformer GW, buildings sqm, motors MW, etc.).</t>
  </si>
  <si>
    <t>Automotive OEM demand</t>
  </si>
  <si>
    <t>Forecast copper in vehicles from new sales by class &amp; powertrain.</t>
  </si>
  <si>
    <t>Annual sales by (Cars/CV/2W/3W) × (ICE/HEV/PHEV/BEV); kg/unit coefficients</t>
  </si>
  <si>
    <t>Auto_OEM(t) = Σ_{v,p} Sales_{v,p}(t) × k_{v,p} / 1000</t>
  </si>
  <si>
    <t>Use distinct k for BEV vs ICE (BEV ≈ 3–4× ICE); non-negativity; outlier check vs historical mix.</t>
  </si>
  <si>
    <t>Auto_OEM_tonnes(t)</t>
  </si>
  <si>
    <t>Automotive replacement</t>
  </si>
  <si>
    <t>Copper replaced with the vehicle itself; captured via OEM sales.</t>
  </si>
  <si>
    <t>Auto_Repl(t) = 0</t>
  </si>
  <si>
    <t>Confirm no duplicate counting via fleet models.</t>
  </si>
  <si>
    <t>Auto_Repl_tonnes(t) = 0</t>
  </si>
  <si>
    <t>Construction OEM</t>
  </si>
  <si>
    <t>Forecast copper in new buildings (resi &amp; non-resi).</t>
  </si>
  <si>
    <t>New completions: resi_sqm(t), nonresi_sqm(t); kg/sqm coefficients</t>
  </si>
  <si>
    <t>Constr_OEM(t) = resi_sqm × k_resi_new / 1000 + nonresi_sqm × k_nonresi_new / 1000</t>
  </si>
  <si>
    <t>Split resi/non-resi; ensure sqm sources are consistent; apply smoothing if volatile.</t>
  </si>
  <si>
    <t>Construction_OEM_tonnes(t)</t>
  </si>
  <si>
    <t>Construction replacement</t>
  </si>
  <si>
    <t>Model copper used in retrofits/renovations.</t>
  </si>
  <si>
    <t>IB floorspace (IB_resi_sqm, IB_nonresi_sqm); retrofit life; retrofit kg/sqm</t>
  </si>
  <si>
    <t>Constr_Repl(t) = (IB_resi_sqm/Life_retrofit) × k_resi_retrofit /1000 + (IB_nonresi_sqm/Life_retrofit) × k_nonresi_retrofit /1000</t>
  </si>
  <si>
    <t>Region-specific cycles allowed; smooth IB; non-negativity.</t>
  </si>
  <si>
    <t>Construction_Replacement_tonnes(t)</t>
  </si>
  <si>
    <t>Grid OEM</t>
  </si>
  <si>
    <t>Forecast copper for new generation, lines, transformers.</t>
  </si>
  <si>
    <t>New gen MW by type (on/offshore wind, solar, gas…); new T&amp;D km by voltage; new transformer GW; tonnes/MW, tonnes/km, tonnes/GW</t>
  </si>
  <si>
    <t>Grid_OEM(t) = Σ NewGen_MW × k_perMW + New_T&amp;D_km × k_perKm + New_Transformer_GW × k_perGW</t>
  </si>
  <si>
    <t>Separate transmission vs distribution; offshore wind often highest k; check unit consistency (MW vs GW).</t>
  </si>
  <si>
    <t>Grid_OEM_tonnes(t)</t>
  </si>
  <si>
    <t>Grid replacement</t>
  </si>
  <si>
    <t>Copper for refurbishment of T&amp;D and transformers.</t>
  </si>
  <si>
    <t>IB T&amp;D km; IB transformer GW; grid life; same k as OEM</t>
  </si>
  <si>
    <t>Grid_Repl(t) = (IB_T&amp;D_km/Life_grid) × k_perKm + (IB_Transformer_GW/Life_grid) × k_perGW</t>
  </si>
  <si>
    <t>If voltage classes available, compute per class; smooth IB.</t>
  </si>
  <si>
    <t>Grid_Replacement_tonnes(t)</t>
  </si>
  <si>
    <t>Industrial OEM &amp; replacement</t>
  </si>
  <si>
    <t>Forecast copper in motors/HVAC/machinery.</t>
  </si>
  <si>
    <t>Motor sales MW; Motor IB MW; motor life; tonnes/MW</t>
  </si>
  <si>
    <t>Ind_OEM(t) = Sales_Motors_MW × k_perMW; Ind_Repl(t) = (IB_Motors_MW/Life_motor) × k_perMW</t>
  </si>
  <si>
    <t>Extend to other machinery if you have drivers; non-negativity; smooth noisy series.</t>
  </si>
  <si>
    <t>Industrial_OEM_tonnes(t), Industrial_Replacement_tonnes(t)</t>
  </si>
  <si>
    <t>Electronics OEM</t>
  </si>
  <si>
    <t>Copper in devices (replacement via sales).</t>
  </si>
  <si>
    <t>Device sales (phones, PCs, appliances…); kg/unit</t>
  </si>
  <si>
    <t>Elec_OEM(t) = Σ Sales_device × k_device / 1000</t>
  </si>
  <si>
    <t>Ensure no double counting; treat premium vs mass-market coefficients if needed.</t>
  </si>
  <si>
    <t>Electronics_OEM_tonnes(t)</t>
  </si>
  <si>
    <t>Electronics replacement</t>
  </si>
  <si>
    <t>Replacement captured as new sales.</t>
  </si>
  <si>
    <t>Elec_Repl(t) = 0</t>
  </si>
  <si>
    <t>—</t>
  </si>
  <si>
    <t>Electronics_Replacement_tonnes(t) = 0</t>
  </si>
  <si>
    <t>Aggregate bottom-up demand</t>
  </si>
  <si>
    <t>Sum all OEM + Replacement + Other Uses to get total demand.</t>
  </si>
  <si>
    <t>All segment outputs from Steps 3–13</t>
  </si>
  <si>
    <t>Total(t) = (Auto_OEM + Constr_OEM + Grid_OEM + Ind_OEM + Elec_OEM) + (Auto_Repl + Constr_Repl + Grid_Repl + Ind_Repl + Elec_Repl) + Other_Uses</t>
  </si>
  <si>
    <t>Non-negativity; 3-yr rolling median optional; max YoY growth guard (e.g., ≤25%).</t>
  </si>
  <si>
    <t>Total_Copper_Demand_tonnes(t)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</si>
</sst>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1" fillId="0" fontId="2"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1" fillId="0" fontId="1" numFmtId="0" xfId="0" applyAlignment="1" applyBorder="1" applyFont="1">
      <alignment horizontal="righ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Feedback &amp; Suggestions-style">
      <tableStyleElement dxfId="1" type="headerRow"/>
      <tableStyleElement dxfId="2" type="firstRowStripe"/>
      <tableStyleElement dxfId="3" type="secondRowStripe"/>
      <tableStyleElement dxfId="4" size="0" type="wholeTable"/>
    </tableStyle>
    <tableStyle count="4" pivot="0" name=" Energy - SWB + Coal + Natural -style">
      <tableStyleElement dxfId="1" type="headerRow"/>
      <tableStyleElement dxfId="2" type="firstRowStripe"/>
      <tableStyleElement dxfId="3" type="secondRowStripe"/>
      <tableStyleElement dxfId="4" size="0" type="wholeTable"/>
    </tableStyle>
    <tableStyle count="4" pivot="0" name="Passenger Cars - EV+ICE+PHEV-style">
      <tableStyleElement dxfId="1" type="headerRow"/>
      <tableStyleElement dxfId="2" type="firstRowStripe"/>
      <tableStyleElement dxfId="3" type="secondRowStripe"/>
      <tableStyleElement dxfId="4" size="0" type="wholeTable"/>
    </tableStyle>
    <tableStyle count="4" pivot="0" name="Two Wheelers - ICE+EV-style">
      <tableStyleElement dxfId="1" type="headerRow"/>
      <tableStyleElement dxfId="2" type="firstRowStripe"/>
      <tableStyleElement dxfId="3" type="secondRowStripe"/>
      <tableStyleElement dxfId="4" size="0" type="wholeTable"/>
    </tableStyle>
    <tableStyle count="4" pivot="0" name="Three Wheeler - ICE+EV-style">
      <tableStyleElement dxfId="1" type="headerRow"/>
      <tableStyleElement dxfId="2" type="firstRowStripe"/>
      <tableStyleElement dxfId="3" type="secondRowStripe"/>
      <tableStyleElement dxfId="4" size="0" type="wholeTable"/>
    </tableStyle>
    <tableStyle count="4" pivot="0" name="Commercial Vehicles-style">
      <tableStyleElement dxfId="1" type="headerRow"/>
      <tableStyleElement dxfId="2" type="firstRowStripe"/>
      <tableStyleElement dxfId="3" type="secondRowStripe"/>
      <tableStyleElement dxfId="4" size="0" type="wholeTable"/>
    </tableStyle>
    <tableStyle count="4" pivot="0" name="Datacenter UPS Batteries-style">
      <tableStyleElement dxfId="1" type="headerRow"/>
      <tableStyleElement dxfId="2" type="firstRowStripe"/>
      <tableStyleElement dxfId="3" type="secondRowStripe"/>
      <tableStyleElement dxfId="4" size="0" type="wholeTable"/>
    </tableStyle>
    <tableStyle count="4" pivot="0" name="Lead-style">
      <tableStyleElement dxfId="1" type="headerRow"/>
      <tableStyleElement dxfId="2" type="firstRowStripe"/>
      <tableStyleElement dxfId="3" type="secondRowStripe"/>
      <tableStyleElement dxfId="4" size="0" type="wholeTable"/>
    </tableStyle>
    <tableStyle count="4" pivot="0" name="Copp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6" displayName="Feedback_on_Analysis" name="Feedback_on_Analysis" id="1">
  <tableColumns count="4">
    <tableColumn name="Analysis Area" id="1"/>
    <tableColumn name="Feedback/ Suggestion" id="2"/>
    <tableColumn name="Question on Analysis" id="3"/>
    <tableColumn name="Name" id="4"/>
  </tableColumns>
  <tableStyleInfo name="Feedback &amp; Suggestions-style" showColumnStripes="0" showFirstColumn="1" showLastColumn="1" showRowStripes="1"/>
</table>
</file>

<file path=xl/tables/table2.xml><?xml version="1.0" encoding="utf-8"?>
<table xmlns="http://schemas.openxmlformats.org/spreadsheetml/2006/main" ref="A1:D16" displayName="Electricity_Demand_Forecasting" name="Electricity_Demand_Forecasting" id="2">
  <tableColumns count="4">
    <tableColumn name="Step #" id="1"/>
    <tableColumn name="Step Title" id="2"/>
    <tableColumn name="Step Description" id="3"/>
    <tableColumn name="Key Outputs" id="4"/>
  </tableColumns>
  <tableStyleInfo name=" Energy - SWB + Coal + Natural -style" showColumnStripes="0" showFirstColumn="1" showLastColumn="1" showRowStripes="1"/>
</table>
</file>

<file path=xl/tables/table3.xml><?xml version="1.0" encoding="utf-8"?>
<table xmlns="http://schemas.openxmlformats.org/spreadsheetml/2006/main" ref="A1:D11" displayName="Car_Sales_Forecast_Steps" name="Car_Sales_Forecast_Steps" id="3">
  <tableColumns count="4">
    <tableColumn name="Step #" id="1"/>
    <tableColumn name="Step Title" id="2"/>
    <tableColumn name="Step Description" id="3"/>
    <tableColumn name="Key Outputs" id="4"/>
  </tableColumns>
  <tableStyleInfo name="Passenger Cars - EV+ICE+PHEV-style" showColumnStripes="0" showFirstColumn="1" showLastColumn="1" showRowStripes="1"/>
</table>
</file>

<file path=xl/tables/table4.xml><?xml version="1.0" encoding="utf-8"?>
<table xmlns="http://schemas.openxmlformats.org/spreadsheetml/2006/main" ref="A1:D11" displayName="Two_Wheeler_Cost_Forecast" name="Two_Wheeler_Cost_Forecast" id="4">
  <tableColumns count="4">
    <tableColumn name="Step #" id="1"/>
    <tableColumn name="Step Title" id="2"/>
    <tableColumn name="Step Description" id="3"/>
    <tableColumn name="Key Outputs" id="4"/>
  </tableColumns>
  <tableStyleInfo name="Two Wheelers - ICE+EV-style" showColumnStripes="0" showFirstColumn="1" showLastColumn="1" showRowStripes="1"/>
</table>
</file>

<file path=xl/tables/table5.xml><?xml version="1.0" encoding="utf-8"?>
<table xmlns="http://schemas.openxmlformats.org/spreadsheetml/2006/main" ref="A1:D11" displayName="Table1" name="Table1" id="5">
  <tableColumns count="4">
    <tableColumn name="Step #" id="1"/>
    <tableColumn name="Step Title" id="2"/>
    <tableColumn name="Step Description" id="3"/>
    <tableColumn name="Key Outputs" id="4"/>
  </tableColumns>
  <tableStyleInfo name="Three Wheeler - ICE+EV-style" showColumnStripes="0" showFirstColumn="1" showLastColumn="1" showRowStripes="1"/>
</table>
</file>

<file path=xl/tables/table6.xml><?xml version="1.0" encoding="utf-8"?>
<table xmlns="http://schemas.openxmlformats.org/spreadsheetml/2006/main" ref="A1:D13" displayName="CV_Workflow_Steps" name="CV_Workflow_Steps" id="6">
  <tableColumns count="4">
    <tableColumn name="Step #" id="1"/>
    <tableColumn name="Step Title" id="2"/>
    <tableColumn name="Step Description" id="3"/>
    <tableColumn name="Key Outputs" id="4"/>
  </tableColumns>
  <tableStyleInfo name="Commercial Vehicles-style" showColumnStripes="0" showFirstColumn="1" showLastColumn="1" showRowStripes="1"/>
</table>
</file>

<file path=xl/tables/table7.xml><?xml version="1.0" encoding="utf-8"?>
<table xmlns="http://schemas.openxmlformats.org/spreadsheetml/2006/main" ref="A1:D13" displayName="UPS_Modeling_Steps" name="UPS_Modeling_Steps" id="7">
  <tableColumns count="4">
    <tableColumn name="Step #" id="1"/>
    <tableColumn name="Step Title" id="2"/>
    <tableColumn name="Step Description" id="3"/>
    <tableColumn name="Key Outputs" id="4"/>
  </tableColumns>
  <tableStyleInfo name="Datacenter UPS Batteries-style" showColumnStripes="0" showFirstColumn="1" showLastColumn="1" showRowStripes="1"/>
</table>
</file>

<file path=xl/tables/table8.xml><?xml version="1.0" encoding="utf-8"?>
<table xmlns="http://schemas.openxmlformats.org/spreadsheetml/2006/main" ref="A1:D11" displayName="Lead_Forecast_Steps" name="Lead_Forecast_Steps" id="8">
  <tableColumns count="4">
    <tableColumn name="Step #" id="1"/>
    <tableColumn name="Step Title" id="2"/>
    <tableColumn name="Step Description" id="3"/>
    <tableColumn name="Key Outputs" id="4"/>
  </tableColumns>
  <tableStyleInfo name="Lead-style" showColumnStripes="0" showFirstColumn="1" showLastColumn="1" showRowStripes="1"/>
</table>
</file>

<file path=xl/tables/table9.xml><?xml version="1.0" encoding="utf-8"?>
<table xmlns="http://schemas.openxmlformats.org/spreadsheetml/2006/main" ref="A1:G13" displayName="Copper_Forecasting_Steps" name="Copper_Forecasting_Steps" id="9">
  <tableColumns count="7">
    <tableColumn name="Step #" id="1"/>
    <tableColumn name="Step Title" id="2"/>
    <tableColumn name="Step Description" id="3"/>
    <tableColumn name="Inputs" id="4"/>
    <tableColumn name="Equation (concise)" id="5"/>
    <tableColumn name="Guardrails" id="6"/>
    <tableColumn name="Outputs" id="7"/>
  </tableColumns>
  <tableStyleInfo name="Copp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209.25"/>
    <col customWidth="1" min="3" max="3" width="41.0"/>
    <col customWidth="1" min="4" max="4" width="41.5"/>
  </cols>
  <sheetData>
    <row r="1" ht="22.5" customHeight="1">
      <c r="A1" s="1" t="s">
        <v>0</v>
      </c>
      <c r="B1" s="1" t="s">
        <v>1</v>
      </c>
      <c r="C1" s="1" t="s">
        <v>2</v>
      </c>
      <c r="D1" s="1" t="s">
        <v>3</v>
      </c>
    </row>
    <row r="2" ht="22.5" customHeight="1">
      <c r="A2" s="2" t="s">
        <v>4</v>
      </c>
      <c r="B2" s="2" t="s">
        <v>5</v>
      </c>
      <c r="C2" s="2"/>
      <c r="D2" s="2" t="s">
        <v>6</v>
      </c>
    </row>
    <row r="3" ht="22.5" customHeight="1">
      <c r="A3" s="2" t="s">
        <v>4</v>
      </c>
      <c r="B3" s="2" t="s">
        <v>7</v>
      </c>
      <c r="C3" s="3"/>
      <c r="D3" s="2" t="s">
        <v>6</v>
      </c>
    </row>
    <row r="4" ht="22.5" customHeight="1">
      <c r="A4" s="2" t="s">
        <v>4</v>
      </c>
      <c r="B4" s="2" t="s">
        <v>8</v>
      </c>
      <c r="C4" s="3"/>
      <c r="D4" s="2" t="s">
        <v>6</v>
      </c>
    </row>
    <row r="5" ht="22.5" customHeight="1">
      <c r="A5" s="2" t="s">
        <v>4</v>
      </c>
      <c r="B5" s="2" t="s">
        <v>9</v>
      </c>
      <c r="C5" s="3"/>
      <c r="D5" s="2" t="s">
        <v>6</v>
      </c>
    </row>
    <row r="6" ht="22.5" customHeight="1">
      <c r="A6" s="2" t="s">
        <v>4</v>
      </c>
      <c r="B6" s="2" t="s">
        <v>10</v>
      </c>
      <c r="C6" s="3"/>
      <c r="D6" s="2" t="s">
        <v>6</v>
      </c>
    </row>
    <row r="7" ht="22.5" customHeight="1">
      <c r="A7" s="2" t="s">
        <v>4</v>
      </c>
      <c r="B7" s="2" t="s">
        <v>11</v>
      </c>
      <c r="C7" s="3"/>
      <c r="D7" s="2" t="s">
        <v>6</v>
      </c>
    </row>
    <row r="8" ht="22.5" customHeight="1">
      <c r="A8" s="3"/>
      <c r="B8" s="3"/>
      <c r="C8" s="3"/>
      <c r="D8" s="3"/>
    </row>
    <row r="9" ht="22.5" customHeight="1">
      <c r="A9" s="3"/>
      <c r="B9" s="3"/>
      <c r="C9" s="3"/>
      <c r="D9" s="3"/>
    </row>
    <row r="10" ht="22.5" customHeight="1">
      <c r="A10" s="3"/>
      <c r="B10" s="3"/>
      <c r="C10" s="3"/>
      <c r="D10" s="3"/>
    </row>
    <row r="11" ht="22.5" customHeight="1">
      <c r="A11" s="3"/>
      <c r="B11" s="3"/>
      <c r="C11" s="3"/>
      <c r="D11" s="3"/>
    </row>
    <row r="12" ht="22.5" customHeight="1">
      <c r="A12" s="3"/>
      <c r="B12" s="3"/>
      <c r="C12" s="3"/>
      <c r="D12" s="3"/>
    </row>
    <row r="13" ht="22.5" customHeight="1">
      <c r="A13" s="3"/>
      <c r="B13" s="3"/>
      <c r="C13" s="3"/>
      <c r="D13" s="3"/>
    </row>
    <row r="14" ht="22.5" customHeight="1">
      <c r="A14" s="3"/>
      <c r="B14" s="3"/>
      <c r="C14" s="3"/>
      <c r="D14" s="3"/>
    </row>
    <row r="15" ht="22.5" customHeight="1">
      <c r="A15" s="3"/>
      <c r="B15" s="3"/>
      <c r="C15" s="3"/>
      <c r="D15" s="3"/>
    </row>
    <row r="16" ht="22.5" customHeight="1">
      <c r="A16" s="3"/>
      <c r="B16" s="3"/>
      <c r="C16" s="3"/>
      <c r="D16" s="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35.88"/>
    <col customWidth="1" min="3" max="3" width="65.63"/>
    <col customWidth="1" min="4" max="4" width="37.0"/>
  </cols>
  <sheetData>
    <row r="1" ht="22.5" customHeight="1">
      <c r="A1" s="4" t="s">
        <v>12</v>
      </c>
      <c r="B1" s="4" t="s">
        <v>13</v>
      </c>
      <c r="C1" s="5" t="s">
        <v>14</v>
      </c>
      <c r="D1" s="4" t="s">
        <v>15</v>
      </c>
    </row>
    <row r="2" ht="22.5" customHeight="1">
      <c r="A2" s="6">
        <v>1.0</v>
      </c>
      <c r="B2" s="7" t="s">
        <v>16</v>
      </c>
      <c r="C2" s="8" t="s">
        <v>17</v>
      </c>
      <c r="D2" s="2" t="s">
        <v>18</v>
      </c>
    </row>
    <row r="3" ht="22.5" customHeight="1">
      <c r="A3" s="6">
        <v>2.0</v>
      </c>
      <c r="B3" s="7" t="s">
        <v>19</v>
      </c>
      <c r="C3" s="8" t="s">
        <v>20</v>
      </c>
      <c r="D3" s="2" t="s">
        <v>21</v>
      </c>
    </row>
    <row r="4" ht="22.5" customHeight="1">
      <c r="A4" s="6">
        <v>3.0</v>
      </c>
      <c r="B4" s="7" t="s">
        <v>22</v>
      </c>
      <c r="C4" s="8" t="s">
        <v>23</v>
      </c>
      <c r="D4" s="2" t="s">
        <v>24</v>
      </c>
    </row>
    <row r="5" ht="22.5" customHeight="1">
      <c r="A5" s="6">
        <v>4.0</v>
      </c>
      <c r="B5" s="7" t="s">
        <v>25</v>
      </c>
      <c r="C5" s="8" t="s">
        <v>26</v>
      </c>
      <c r="D5" s="2" t="s">
        <v>27</v>
      </c>
    </row>
    <row r="6" ht="22.5" customHeight="1">
      <c r="A6" s="6">
        <v>5.0</v>
      </c>
      <c r="B6" s="7" t="s">
        <v>28</v>
      </c>
      <c r="C6" s="8" t="s">
        <v>29</v>
      </c>
      <c r="D6" s="2" t="s">
        <v>30</v>
      </c>
    </row>
    <row r="7" ht="22.5" customHeight="1">
      <c r="A7" s="6">
        <v>6.0</v>
      </c>
      <c r="B7" s="7" t="s">
        <v>31</v>
      </c>
      <c r="C7" s="8" t="s">
        <v>32</v>
      </c>
      <c r="D7" s="2" t="s">
        <v>33</v>
      </c>
    </row>
    <row r="8" ht="22.5" customHeight="1">
      <c r="A8" s="6">
        <v>7.0</v>
      </c>
      <c r="B8" s="7" t="s">
        <v>34</v>
      </c>
      <c r="C8" s="8" t="s">
        <v>35</v>
      </c>
      <c r="D8" s="2" t="s">
        <v>36</v>
      </c>
    </row>
    <row r="9" ht="22.5" customHeight="1">
      <c r="A9" s="6">
        <v>8.0</v>
      </c>
      <c r="B9" s="7" t="s">
        <v>37</v>
      </c>
      <c r="C9" s="8" t="s">
        <v>38</v>
      </c>
      <c r="D9" s="2" t="s">
        <v>39</v>
      </c>
    </row>
    <row r="10" ht="22.5" customHeight="1">
      <c r="A10" s="6">
        <v>9.0</v>
      </c>
      <c r="B10" s="7" t="s">
        <v>40</v>
      </c>
      <c r="C10" s="8" t="s">
        <v>41</v>
      </c>
      <c r="D10" s="2" t="s">
        <v>42</v>
      </c>
    </row>
    <row r="11" ht="22.5" customHeight="1">
      <c r="A11" s="6">
        <v>10.0</v>
      </c>
      <c r="B11" s="7" t="s">
        <v>43</v>
      </c>
      <c r="C11" s="8" t="s">
        <v>44</v>
      </c>
      <c r="D11" s="2" t="s">
        <v>45</v>
      </c>
    </row>
    <row r="12" ht="22.5" customHeight="1">
      <c r="A12" s="6">
        <v>11.0</v>
      </c>
      <c r="B12" s="7" t="s">
        <v>46</v>
      </c>
      <c r="C12" s="8" t="s">
        <v>47</v>
      </c>
      <c r="D12" s="2" t="s">
        <v>48</v>
      </c>
    </row>
    <row r="13" ht="22.5" customHeight="1">
      <c r="A13" s="6">
        <v>12.0</v>
      </c>
      <c r="B13" s="7" t="s">
        <v>49</v>
      </c>
      <c r="C13" s="8" t="s">
        <v>50</v>
      </c>
      <c r="D13" s="2" t="s">
        <v>51</v>
      </c>
    </row>
    <row r="14" ht="22.5" customHeight="1">
      <c r="A14" s="6">
        <v>13.0</v>
      </c>
      <c r="B14" s="7" t="s">
        <v>52</v>
      </c>
      <c r="C14" s="8" t="s">
        <v>53</v>
      </c>
      <c r="D14" s="2" t="s">
        <v>54</v>
      </c>
    </row>
    <row r="15" ht="22.5" customHeight="1">
      <c r="A15" s="6">
        <v>14.0</v>
      </c>
      <c r="B15" s="7" t="s">
        <v>55</v>
      </c>
      <c r="C15" s="8" t="s">
        <v>56</v>
      </c>
      <c r="D15" s="2" t="s">
        <v>57</v>
      </c>
    </row>
    <row r="16" ht="22.5" customHeight="1">
      <c r="A16" s="6">
        <v>15.0</v>
      </c>
      <c r="B16" s="7" t="s">
        <v>58</v>
      </c>
      <c r="C16" s="8" t="s">
        <v>59</v>
      </c>
      <c r="D16" s="2" t="s">
        <v>60</v>
      </c>
    </row>
  </sheetData>
  <dataValidations>
    <dataValidation type="custom" allowBlank="1" showDropDown="1" sqref="A2:A16">
      <formula1>AND(ISNUMBER(A2),(NOT(OR(NOT(ISERROR(DATEVALUE(A2))),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33.38"/>
    <col customWidth="1" min="3" max="3" width="48.88"/>
    <col customWidth="1" min="4" max="4" width="35.88"/>
  </cols>
  <sheetData>
    <row r="1" ht="22.5" customHeight="1">
      <c r="A1" s="9" t="s">
        <v>12</v>
      </c>
      <c r="B1" s="9" t="s">
        <v>13</v>
      </c>
      <c r="C1" s="10" t="s">
        <v>14</v>
      </c>
      <c r="D1" s="9" t="s">
        <v>15</v>
      </c>
    </row>
    <row r="2" ht="22.5" customHeight="1">
      <c r="A2" s="6">
        <v>1.0</v>
      </c>
      <c r="B2" s="7" t="s">
        <v>61</v>
      </c>
      <c r="C2" s="8" t="s">
        <v>62</v>
      </c>
      <c r="D2" s="2" t="s">
        <v>63</v>
      </c>
    </row>
    <row r="3" ht="22.5" customHeight="1">
      <c r="A3" s="6">
        <v>2.0</v>
      </c>
      <c r="B3" s="7" t="s">
        <v>64</v>
      </c>
      <c r="C3" s="8" t="s">
        <v>65</v>
      </c>
      <c r="D3" s="2" t="s">
        <v>66</v>
      </c>
    </row>
    <row r="4" ht="22.5" customHeight="1">
      <c r="A4" s="6">
        <v>3.0</v>
      </c>
      <c r="B4" s="7" t="s">
        <v>67</v>
      </c>
      <c r="C4" s="8" t="s">
        <v>68</v>
      </c>
      <c r="D4" s="2" t="s">
        <v>30</v>
      </c>
    </row>
    <row r="5" ht="22.5" customHeight="1">
      <c r="A5" s="6">
        <v>4.0</v>
      </c>
      <c r="B5" s="7" t="s">
        <v>69</v>
      </c>
      <c r="C5" s="8" t="s">
        <v>70</v>
      </c>
      <c r="D5" s="2" t="s">
        <v>71</v>
      </c>
    </row>
    <row r="6" ht="22.5" customHeight="1">
      <c r="A6" s="6">
        <v>5.0</v>
      </c>
      <c r="B6" s="7" t="s">
        <v>72</v>
      </c>
      <c r="C6" s="8" t="s">
        <v>73</v>
      </c>
      <c r="D6" s="2" t="s">
        <v>74</v>
      </c>
    </row>
    <row r="7" ht="22.5" customHeight="1">
      <c r="A7" s="6">
        <v>6.0</v>
      </c>
      <c r="B7" s="7" t="s">
        <v>75</v>
      </c>
      <c r="C7" s="8" t="s">
        <v>76</v>
      </c>
      <c r="D7" s="2" t="s">
        <v>77</v>
      </c>
    </row>
    <row r="8" ht="22.5" customHeight="1">
      <c r="A8" s="6">
        <v>7.0</v>
      </c>
      <c r="B8" s="7" t="s">
        <v>78</v>
      </c>
      <c r="C8" s="8" t="s">
        <v>79</v>
      </c>
      <c r="D8" s="2" t="s">
        <v>80</v>
      </c>
    </row>
    <row r="9" ht="22.5" customHeight="1">
      <c r="A9" s="6">
        <v>8.0</v>
      </c>
      <c r="B9" s="7" t="s">
        <v>81</v>
      </c>
      <c r="C9" s="8" t="s">
        <v>82</v>
      </c>
      <c r="D9" s="2" t="s">
        <v>83</v>
      </c>
    </row>
    <row r="10" ht="22.5" customHeight="1">
      <c r="A10" s="6">
        <v>9.0</v>
      </c>
      <c r="B10" s="7" t="s">
        <v>84</v>
      </c>
      <c r="C10" s="8" t="s">
        <v>85</v>
      </c>
      <c r="D10" s="2" t="s">
        <v>86</v>
      </c>
    </row>
    <row r="11" ht="22.5" customHeight="1">
      <c r="A11" s="6">
        <v>10.0</v>
      </c>
      <c r="B11" s="7" t="s">
        <v>87</v>
      </c>
      <c r="C11" s="8" t="s">
        <v>88</v>
      </c>
      <c r="D11" s="2" t="s">
        <v>89</v>
      </c>
    </row>
  </sheetData>
  <dataValidations>
    <dataValidation type="custom" allowBlank="1" showDropDown="1" sqref="A2:A11">
      <formula1>AND(ISNUMBER(A2),(NOT(OR(NOT(ISERROR(DATEVALUE(A2))),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37.63"/>
    <col customWidth="1" min="3" max="3" width="60.38"/>
    <col customWidth="1" min="4" max="4" width="51.88"/>
  </cols>
  <sheetData>
    <row r="1" ht="22.5" customHeight="1">
      <c r="A1" s="10" t="s">
        <v>12</v>
      </c>
      <c r="B1" s="10" t="s">
        <v>13</v>
      </c>
      <c r="C1" s="10" t="s">
        <v>14</v>
      </c>
      <c r="D1" s="10" t="s">
        <v>15</v>
      </c>
    </row>
    <row r="2" ht="22.5" customHeight="1">
      <c r="A2" s="11">
        <v>1.0</v>
      </c>
      <c r="B2" s="12" t="s">
        <v>61</v>
      </c>
      <c r="C2" s="8" t="s">
        <v>90</v>
      </c>
      <c r="D2" s="8" t="s">
        <v>91</v>
      </c>
    </row>
    <row r="3" ht="22.5" customHeight="1">
      <c r="A3" s="11">
        <v>2.0</v>
      </c>
      <c r="B3" s="12" t="s">
        <v>92</v>
      </c>
      <c r="C3" s="8" t="s">
        <v>93</v>
      </c>
      <c r="D3" s="8" t="s">
        <v>94</v>
      </c>
    </row>
    <row r="4" ht="22.5" customHeight="1">
      <c r="A4" s="11">
        <v>3.0</v>
      </c>
      <c r="B4" s="12" t="s">
        <v>64</v>
      </c>
      <c r="C4" s="8" t="s">
        <v>95</v>
      </c>
      <c r="D4" s="8" t="s">
        <v>96</v>
      </c>
    </row>
    <row r="5" ht="22.5" customHeight="1">
      <c r="A5" s="11">
        <v>4.0</v>
      </c>
      <c r="B5" s="12" t="s">
        <v>67</v>
      </c>
      <c r="C5" s="8" t="s">
        <v>97</v>
      </c>
      <c r="D5" s="8" t="s">
        <v>98</v>
      </c>
    </row>
    <row r="6" ht="22.5" customHeight="1">
      <c r="A6" s="11">
        <v>5.0</v>
      </c>
      <c r="B6" s="12" t="s">
        <v>99</v>
      </c>
      <c r="C6" s="8" t="s">
        <v>100</v>
      </c>
      <c r="D6" s="8" t="s">
        <v>101</v>
      </c>
    </row>
    <row r="7" ht="22.5" customHeight="1">
      <c r="A7" s="11">
        <v>6.0</v>
      </c>
      <c r="B7" s="12" t="s">
        <v>102</v>
      </c>
      <c r="C7" s="8" t="s">
        <v>103</v>
      </c>
      <c r="D7" s="8" t="s">
        <v>104</v>
      </c>
    </row>
    <row r="8" ht="22.5" customHeight="1">
      <c r="A8" s="11">
        <v>7.0</v>
      </c>
      <c r="B8" s="12" t="s">
        <v>105</v>
      </c>
      <c r="C8" s="8" t="s">
        <v>106</v>
      </c>
      <c r="D8" s="8" t="s">
        <v>107</v>
      </c>
    </row>
    <row r="9" ht="22.5" customHeight="1">
      <c r="A9" s="11">
        <v>8.0</v>
      </c>
      <c r="B9" s="12" t="s">
        <v>81</v>
      </c>
      <c r="C9" s="8" t="s">
        <v>108</v>
      </c>
      <c r="D9" s="8" t="s">
        <v>109</v>
      </c>
    </row>
    <row r="10" ht="22.5" customHeight="1">
      <c r="A10" s="11">
        <v>9.0</v>
      </c>
      <c r="B10" s="12" t="s">
        <v>110</v>
      </c>
      <c r="C10" s="8" t="s">
        <v>111</v>
      </c>
      <c r="D10" s="8" t="s">
        <v>112</v>
      </c>
    </row>
    <row r="11" ht="22.5" customHeight="1">
      <c r="A11" s="11">
        <v>10.0</v>
      </c>
      <c r="B11" s="12" t="s">
        <v>113</v>
      </c>
      <c r="C11" s="8" t="s">
        <v>114</v>
      </c>
      <c r="D11" s="8" t="s">
        <v>115</v>
      </c>
    </row>
  </sheetData>
  <dataValidations>
    <dataValidation type="custom" allowBlank="1" showDropDown="1" sqref="A2:A11">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31.63"/>
    <col customWidth="1" min="3" max="3" width="77.0"/>
    <col customWidth="1" min="4" max="4" width="47.88"/>
  </cols>
  <sheetData>
    <row r="1" ht="22.5" customHeight="1">
      <c r="A1" s="5" t="s">
        <v>12</v>
      </c>
      <c r="B1" s="5" t="s">
        <v>13</v>
      </c>
      <c r="C1" s="5" t="s">
        <v>14</v>
      </c>
      <c r="D1" s="5" t="s">
        <v>15</v>
      </c>
    </row>
    <row r="2" ht="22.5" customHeight="1">
      <c r="A2" s="13">
        <v>1.0</v>
      </c>
      <c r="B2" s="14" t="s">
        <v>61</v>
      </c>
      <c r="C2" s="15" t="s">
        <v>116</v>
      </c>
      <c r="D2" s="15" t="s">
        <v>117</v>
      </c>
    </row>
    <row r="3" ht="22.5" customHeight="1">
      <c r="A3" s="13">
        <v>2.0</v>
      </c>
      <c r="B3" s="14" t="s">
        <v>92</v>
      </c>
      <c r="C3" s="15" t="s">
        <v>118</v>
      </c>
      <c r="D3" s="15" t="s">
        <v>119</v>
      </c>
    </row>
    <row r="4" ht="22.5" customHeight="1">
      <c r="A4" s="13">
        <v>3.0</v>
      </c>
      <c r="B4" s="14" t="s">
        <v>64</v>
      </c>
      <c r="C4" s="15" t="s">
        <v>120</v>
      </c>
      <c r="D4" s="15" t="s">
        <v>121</v>
      </c>
    </row>
    <row r="5" ht="22.5" customHeight="1">
      <c r="A5" s="13">
        <v>4.0</v>
      </c>
      <c r="B5" s="14" t="s">
        <v>67</v>
      </c>
      <c r="C5" s="15" t="s">
        <v>122</v>
      </c>
      <c r="D5" s="15" t="s">
        <v>123</v>
      </c>
    </row>
    <row r="6" ht="22.5" customHeight="1">
      <c r="A6" s="13">
        <v>5.0</v>
      </c>
      <c r="B6" s="14" t="s">
        <v>69</v>
      </c>
      <c r="C6" s="15" t="s">
        <v>124</v>
      </c>
      <c r="D6" s="15" t="s">
        <v>125</v>
      </c>
    </row>
    <row r="7" ht="22.5" customHeight="1">
      <c r="A7" s="13">
        <v>6.0</v>
      </c>
      <c r="B7" s="14" t="s">
        <v>102</v>
      </c>
      <c r="C7" s="15" t="s">
        <v>126</v>
      </c>
      <c r="D7" s="15" t="s">
        <v>127</v>
      </c>
    </row>
    <row r="8" ht="22.5" customHeight="1">
      <c r="A8" s="13">
        <v>7.0</v>
      </c>
      <c r="B8" s="14" t="s">
        <v>105</v>
      </c>
      <c r="C8" s="15" t="s">
        <v>128</v>
      </c>
      <c r="D8" s="15" t="s">
        <v>129</v>
      </c>
    </row>
    <row r="9" ht="22.5" customHeight="1">
      <c r="A9" s="13">
        <v>8.0</v>
      </c>
      <c r="B9" s="14" t="s">
        <v>130</v>
      </c>
      <c r="C9" s="15" t="s">
        <v>131</v>
      </c>
      <c r="D9" s="15" t="s">
        <v>132</v>
      </c>
    </row>
    <row r="10" ht="22.5" customHeight="1">
      <c r="A10" s="13">
        <v>9.0</v>
      </c>
      <c r="B10" s="14" t="s">
        <v>133</v>
      </c>
      <c r="C10" s="15" t="s">
        <v>134</v>
      </c>
      <c r="D10" s="15" t="s">
        <v>135</v>
      </c>
    </row>
    <row r="11" ht="22.5" customHeight="1">
      <c r="A11" s="13">
        <v>10.0</v>
      </c>
      <c r="B11" s="14" t="s">
        <v>136</v>
      </c>
      <c r="C11" s="15" t="s">
        <v>137</v>
      </c>
      <c r="D11" s="15" t="s">
        <v>138</v>
      </c>
    </row>
  </sheetData>
  <dataValidations>
    <dataValidation type="custom" allowBlank="1" showDropDown="1" sqref="A2:A11">
      <formula1>AND(ISNUMBER(A2),(NOT(OR(NOT(ISERROR(DATEVALUE(A2))), AND(ISNUMBER(A2), LEFT(CELL("format", A2))="D")))))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37.63"/>
    <col customWidth="1" min="3" max="3" width="86.0"/>
    <col customWidth="1" min="4" max="4" width="37.63"/>
  </cols>
  <sheetData>
    <row r="1" ht="22.5" customHeight="1">
      <c r="A1" s="10" t="s">
        <v>12</v>
      </c>
      <c r="B1" s="10" t="s">
        <v>13</v>
      </c>
      <c r="C1" s="10" t="s">
        <v>14</v>
      </c>
      <c r="D1" s="10" t="s">
        <v>15</v>
      </c>
    </row>
    <row r="2" ht="22.5" customHeight="1">
      <c r="A2" s="11">
        <v>1.0</v>
      </c>
      <c r="B2" s="8" t="s">
        <v>61</v>
      </c>
      <c r="C2" s="8" t="s">
        <v>139</v>
      </c>
      <c r="D2" s="8" t="s">
        <v>140</v>
      </c>
    </row>
    <row r="3" ht="22.5" customHeight="1">
      <c r="A3" s="11">
        <v>2.0</v>
      </c>
      <c r="B3" s="8" t="s">
        <v>141</v>
      </c>
      <c r="C3" s="8" t="s">
        <v>142</v>
      </c>
      <c r="D3" s="8" t="s">
        <v>143</v>
      </c>
    </row>
    <row r="4" ht="22.5" customHeight="1">
      <c r="A4" s="11">
        <v>3.0</v>
      </c>
      <c r="B4" s="8" t="s">
        <v>144</v>
      </c>
      <c r="C4" s="8" t="s">
        <v>145</v>
      </c>
      <c r="D4" s="8" t="s">
        <v>146</v>
      </c>
    </row>
    <row r="5" ht="22.5" customHeight="1">
      <c r="A5" s="11">
        <v>4.0</v>
      </c>
      <c r="B5" s="8" t="s">
        <v>147</v>
      </c>
      <c r="C5" s="8" t="s">
        <v>148</v>
      </c>
      <c r="D5" s="8" t="s">
        <v>149</v>
      </c>
    </row>
    <row r="6" ht="22.5" customHeight="1">
      <c r="A6" s="11">
        <v>5.0</v>
      </c>
      <c r="B6" s="8" t="s">
        <v>150</v>
      </c>
      <c r="C6" s="8" t="s">
        <v>151</v>
      </c>
      <c r="D6" s="8" t="s">
        <v>152</v>
      </c>
    </row>
    <row r="7" ht="22.5" customHeight="1">
      <c r="A7" s="11">
        <v>6.0</v>
      </c>
      <c r="B7" s="8" t="s">
        <v>153</v>
      </c>
      <c r="C7" s="8" t="s">
        <v>154</v>
      </c>
      <c r="D7" s="8" t="s">
        <v>155</v>
      </c>
    </row>
    <row r="8" ht="22.5" customHeight="1">
      <c r="A8" s="11">
        <v>7.0</v>
      </c>
      <c r="B8" s="8" t="s">
        <v>156</v>
      </c>
      <c r="C8" s="8" t="s">
        <v>157</v>
      </c>
      <c r="D8" s="8" t="s">
        <v>158</v>
      </c>
    </row>
    <row r="9" ht="22.5" customHeight="1">
      <c r="A9" s="11">
        <v>8.0</v>
      </c>
      <c r="B9" s="8" t="s">
        <v>159</v>
      </c>
      <c r="C9" s="8" t="s">
        <v>160</v>
      </c>
      <c r="D9" s="8" t="s">
        <v>161</v>
      </c>
    </row>
    <row r="10" ht="22.5" customHeight="1">
      <c r="A10" s="11">
        <v>9.0</v>
      </c>
      <c r="B10" s="8" t="s">
        <v>162</v>
      </c>
      <c r="C10" s="8" t="s">
        <v>163</v>
      </c>
      <c r="D10" s="8" t="s">
        <v>164</v>
      </c>
    </row>
    <row r="11" ht="22.5" customHeight="1">
      <c r="A11" s="11">
        <v>10.0</v>
      </c>
      <c r="B11" s="8" t="s">
        <v>165</v>
      </c>
      <c r="C11" s="8" t="s">
        <v>166</v>
      </c>
      <c r="D11" s="8" t="s">
        <v>167</v>
      </c>
    </row>
    <row r="12" ht="22.5" customHeight="1">
      <c r="A12" s="11">
        <v>11.0</v>
      </c>
      <c r="B12" s="8" t="s">
        <v>168</v>
      </c>
      <c r="C12" s="8" t="s">
        <v>169</v>
      </c>
      <c r="D12" s="8" t="s">
        <v>170</v>
      </c>
    </row>
    <row r="13" ht="22.5" customHeight="1">
      <c r="A13" s="11">
        <v>12.0</v>
      </c>
      <c r="B13" s="8" t="s">
        <v>171</v>
      </c>
      <c r="C13" s="8" t="s">
        <v>172</v>
      </c>
      <c r="D13" s="8" t="s">
        <v>173</v>
      </c>
    </row>
  </sheetData>
  <dataValidations>
    <dataValidation type="custom" allowBlank="1" showDropDown="1" sqref="A2:A13">
      <formula1>AND(ISNUMBER(A2),(NOT(OR(NOT(ISERROR(DATEVALUE(A2))), AND(ISNUMBER(A2), LEFT(CELL("format", A2))="D")))))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63"/>
    <col customWidth="1" min="3" max="3" width="58.0"/>
    <col customWidth="1" min="4" max="4" width="37.63"/>
  </cols>
  <sheetData>
    <row r="1" ht="22.5" customHeight="1">
      <c r="A1" s="9" t="s">
        <v>12</v>
      </c>
      <c r="B1" s="9" t="s">
        <v>13</v>
      </c>
      <c r="C1" s="10" t="s">
        <v>14</v>
      </c>
      <c r="D1" s="9" t="s">
        <v>15</v>
      </c>
    </row>
    <row r="2" ht="22.5" customHeight="1">
      <c r="A2" s="2">
        <v>1.0</v>
      </c>
      <c r="B2" s="7" t="s">
        <v>174</v>
      </c>
      <c r="C2" s="8" t="s">
        <v>175</v>
      </c>
      <c r="D2" s="2" t="s">
        <v>176</v>
      </c>
    </row>
    <row r="3" ht="22.5" customHeight="1">
      <c r="A3" s="2">
        <v>2.0</v>
      </c>
      <c r="B3" s="7" t="s">
        <v>177</v>
      </c>
      <c r="C3" s="8" t="s">
        <v>178</v>
      </c>
      <c r="D3" s="2" t="s">
        <v>179</v>
      </c>
    </row>
    <row r="4" ht="22.5" customHeight="1">
      <c r="A4" s="2">
        <v>3.0</v>
      </c>
      <c r="B4" s="7" t="s">
        <v>180</v>
      </c>
      <c r="C4" s="8" t="s">
        <v>181</v>
      </c>
      <c r="D4" s="2" t="s">
        <v>182</v>
      </c>
    </row>
    <row r="5" ht="22.5" customHeight="1">
      <c r="A5" s="2">
        <v>4.0</v>
      </c>
      <c r="B5" s="7" t="s">
        <v>183</v>
      </c>
      <c r="C5" s="8" t="s">
        <v>184</v>
      </c>
      <c r="D5" s="2" t="s">
        <v>185</v>
      </c>
    </row>
    <row r="6" ht="22.5" customHeight="1">
      <c r="A6" s="2">
        <v>5.0</v>
      </c>
      <c r="B6" s="7" t="s">
        <v>186</v>
      </c>
      <c r="C6" s="8" t="s">
        <v>187</v>
      </c>
      <c r="D6" s="2" t="s">
        <v>188</v>
      </c>
    </row>
    <row r="7" ht="22.5" customHeight="1">
      <c r="A7" s="2">
        <v>6.0</v>
      </c>
      <c r="B7" s="7" t="s">
        <v>189</v>
      </c>
      <c r="C7" s="8" t="s">
        <v>190</v>
      </c>
      <c r="D7" s="2" t="s">
        <v>191</v>
      </c>
    </row>
    <row r="8" ht="22.5" customHeight="1">
      <c r="A8" s="2">
        <v>7.0</v>
      </c>
      <c r="B8" s="7" t="s">
        <v>192</v>
      </c>
      <c r="C8" s="8" t="s">
        <v>193</v>
      </c>
      <c r="D8" s="2" t="s">
        <v>194</v>
      </c>
    </row>
    <row r="9" ht="22.5" customHeight="1">
      <c r="A9" s="2">
        <v>8.0</v>
      </c>
      <c r="B9" s="7" t="s">
        <v>195</v>
      </c>
      <c r="C9" s="8" t="s">
        <v>196</v>
      </c>
      <c r="D9" s="2" t="s">
        <v>197</v>
      </c>
    </row>
    <row r="10" ht="22.5" customHeight="1">
      <c r="A10" s="2">
        <v>9.0</v>
      </c>
      <c r="B10" s="7" t="s">
        <v>198</v>
      </c>
      <c r="C10" s="8" t="s">
        <v>199</v>
      </c>
      <c r="D10" s="2" t="s">
        <v>200</v>
      </c>
    </row>
    <row r="11" ht="22.5" customHeight="1">
      <c r="A11" s="2">
        <v>10.0</v>
      </c>
      <c r="B11" s="7" t="s">
        <v>201</v>
      </c>
      <c r="C11" s="8" t="s">
        <v>202</v>
      </c>
      <c r="D11" s="2" t="s">
        <v>203</v>
      </c>
    </row>
    <row r="12" ht="22.5" customHeight="1">
      <c r="A12" s="2">
        <v>11.0</v>
      </c>
      <c r="B12" s="7" t="s">
        <v>204</v>
      </c>
      <c r="C12" s="8" t="s">
        <v>205</v>
      </c>
      <c r="D12" s="2" t="s">
        <v>206</v>
      </c>
    </row>
    <row r="13" ht="22.5" customHeight="1">
      <c r="A13" s="2">
        <v>12.0</v>
      </c>
      <c r="B13" s="7" t="s">
        <v>207</v>
      </c>
      <c r="C13" s="8" t="s">
        <v>208</v>
      </c>
      <c r="D13" s="2" t="s">
        <v>209</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30.38"/>
    <col customWidth="1" min="3" max="3" width="55.25"/>
    <col customWidth="1" min="4" max="4" width="37.63"/>
  </cols>
  <sheetData>
    <row r="1" ht="22.5" customHeight="1">
      <c r="A1" s="9" t="s">
        <v>12</v>
      </c>
      <c r="B1" s="9" t="s">
        <v>13</v>
      </c>
      <c r="C1" s="10" t="s">
        <v>14</v>
      </c>
      <c r="D1" s="9" t="s">
        <v>15</v>
      </c>
    </row>
    <row r="2" ht="22.5" customHeight="1">
      <c r="A2" s="6">
        <v>1.0</v>
      </c>
      <c r="B2" s="7" t="s">
        <v>210</v>
      </c>
      <c r="C2" s="8" t="s">
        <v>211</v>
      </c>
      <c r="D2" s="2" t="s">
        <v>212</v>
      </c>
    </row>
    <row r="3" ht="22.5" customHeight="1">
      <c r="A3" s="6">
        <v>2.0</v>
      </c>
      <c r="B3" s="7" t="s">
        <v>213</v>
      </c>
      <c r="C3" s="8" t="s">
        <v>214</v>
      </c>
      <c r="D3" s="2" t="s">
        <v>215</v>
      </c>
    </row>
    <row r="4" ht="22.5" customHeight="1">
      <c r="A4" s="6">
        <v>3.0</v>
      </c>
      <c r="B4" s="7" t="s">
        <v>216</v>
      </c>
      <c r="C4" s="8" t="s">
        <v>217</v>
      </c>
      <c r="D4" s="2" t="s">
        <v>218</v>
      </c>
    </row>
    <row r="5" ht="22.5" customHeight="1">
      <c r="A5" s="6">
        <v>4.0</v>
      </c>
      <c r="B5" s="7" t="s">
        <v>219</v>
      </c>
      <c r="C5" s="8" t="s">
        <v>220</v>
      </c>
      <c r="D5" s="2" t="s">
        <v>221</v>
      </c>
    </row>
    <row r="6" ht="22.5" customHeight="1">
      <c r="A6" s="6">
        <v>5.0</v>
      </c>
      <c r="B6" s="7" t="s">
        <v>222</v>
      </c>
      <c r="C6" s="8" t="s">
        <v>223</v>
      </c>
      <c r="D6" s="2" t="s">
        <v>224</v>
      </c>
    </row>
    <row r="7" ht="22.5" customHeight="1">
      <c r="A7" s="6">
        <v>6.0</v>
      </c>
      <c r="B7" s="7" t="s">
        <v>225</v>
      </c>
      <c r="C7" s="8" t="s">
        <v>226</v>
      </c>
      <c r="D7" s="2" t="s">
        <v>227</v>
      </c>
    </row>
    <row r="8" ht="22.5" customHeight="1">
      <c r="A8" s="6">
        <v>7.0</v>
      </c>
      <c r="B8" s="7" t="s">
        <v>228</v>
      </c>
      <c r="C8" s="8" t="s">
        <v>229</v>
      </c>
      <c r="D8" s="2" t="s">
        <v>230</v>
      </c>
    </row>
    <row r="9" ht="22.5" customHeight="1">
      <c r="A9" s="6">
        <v>8.0</v>
      </c>
      <c r="B9" s="7" t="s">
        <v>231</v>
      </c>
      <c r="C9" s="8" t="s">
        <v>232</v>
      </c>
      <c r="D9" s="2" t="s">
        <v>233</v>
      </c>
    </row>
    <row r="10" ht="22.5" customHeight="1">
      <c r="A10" s="6">
        <v>9.0</v>
      </c>
      <c r="B10" s="7" t="s">
        <v>234</v>
      </c>
      <c r="C10" s="8" t="s">
        <v>235</v>
      </c>
      <c r="D10" s="2" t="s">
        <v>236</v>
      </c>
    </row>
    <row r="11" ht="22.5" customHeight="1">
      <c r="A11" s="6">
        <v>10.0</v>
      </c>
      <c r="B11" s="7" t="s">
        <v>237</v>
      </c>
      <c r="C11" s="8" t="s">
        <v>238</v>
      </c>
      <c r="D11" s="2" t="s">
        <v>239</v>
      </c>
    </row>
  </sheetData>
  <dataValidations>
    <dataValidation type="custom" allowBlank="1" showDropDown="1" sqref="A2:A11">
      <formula1>AND(ISNUMBER(A2),(NOT(OR(NOT(ISERROR(DATEVALUE(A2))), AND(ISNUMBER(A2), LEFT(CELL("format", A2))="D")))))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18.5"/>
    <col customWidth="1" min="3" max="3" width="34.0"/>
    <col customWidth="1" min="4" max="4" width="30.25"/>
    <col customWidth="1" min="5" max="5" width="26.13"/>
    <col customWidth="1" min="6" max="6" width="20.63"/>
    <col customWidth="1" min="7" max="7" width="19.88"/>
  </cols>
  <sheetData>
    <row r="1" ht="22.5" customHeight="1">
      <c r="A1" s="16" t="s">
        <v>12</v>
      </c>
      <c r="B1" s="10" t="s">
        <v>13</v>
      </c>
      <c r="C1" s="10" t="s">
        <v>14</v>
      </c>
      <c r="D1" s="10" t="s">
        <v>240</v>
      </c>
      <c r="E1" s="10" t="s">
        <v>241</v>
      </c>
      <c r="F1" s="10" t="s">
        <v>242</v>
      </c>
      <c r="G1" s="10" t="s">
        <v>243</v>
      </c>
    </row>
    <row r="2" ht="22.5" customHeight="1">
      <c r="A2" s="11">
        <v>1.0</v>
      </c>
      <c r="B2" s="12" t="s">
        <v>244</v>
      </c>
      <c r="C2" s="8" t="s">
        <v>245</v>
      </c>
      <c r="D2" s="8" t="s">
        <v>246</v>
      </c>
      <c r="E2" s="8" t="s">
        <v>247</v>
      </c>
      <c r="F2" s="8" t="s">
        <v>248</v>
      </c>
      <c r="G2" s="8" t="s">
        <v>249</v>
      </c>
    </row>
    <row r="3" ht="22.5" customHeight="1">
      <c r="A3" s="11">
        <v>2.0</v>
      </c>
      <c r="B3" s="12" t="s">
        <v>250</v>
      </c>
      <c r="C3" s="8" t="s">
        <v>251</v>
      </c>
      <c r="D3" s="8" t="s">
        <v>252</v>
      </c>
      <c r="E3" s="8" t="s">
        <v>253</v>
      </c>
      <c r="F3" s="8" t="s">
        <v>254</v>
      </c>
      <c r="G3" s="8" t="s">
        <v>255</v>
      </c>
    </row>
    <row r="4" ht="22.5" customHeight="1">
      <c r="A4" s="11">
        <v>3.0</v>
      </c>
      <c r="B4" s="12" t="s">
        <v>256</v>
      </c>
      <c r="C4" s="8" t="s">
        <v>257</v>
      </c>
      <c r="D4" s="8" t="s">
        <v>258</v>
      </c>
      <c r="E4" s="8" t="s">
        <v>259</v>
      </c>
      <c r="F4" s="8" t="s">
        <v>260</v>
      </c>
      <c r="G4" s="8" t="s">
        <v>261</v>
      </c>
    </row>
    <row r="5" ht="22.5" customHeight="1">
      <c r="A5" s="11">
        <v>4.0</v>
      </c>
      <c r="B5" s="12" t="s">
        <v>262</v>
      </c>
      <c r="C5" s="8" t="s">
        <v>263</v>
      </c>
      <c r="D5" s="8" t="s">
        <v>246</v>
      </c>
      <c r="E5" s="8" t="s">
        <v>264</v>
      </c>
      <c r="F5" s="8" t="s">
        <v>265</v>
      </c>
      <c r="G5" s="8" t="s">
        <v>266</v>
      </c>
    </row>
    <row r="6" ht="22.5" customHeight="1">
      <c r="A6" s="11">
        <v>5.0</v>
      </c>
      <c r="B6" s="12" t="s">
        <v>267</v>
      </c>
      <c r="C6" s="8" t="s">
        <v>268</v>
      </c>
      <c r="D6" s="8" t="s">
        <v>269</v>
      </c>
      <c r="E6" s="8" t="s">
        <v>270</v>
      </c>
      <c r="F6" s="8" t="s">
        <v>271</v>
      </c>
      <c r="G6" s="8" t="s">
        <v>272</v>
      </c>
    </row>
    <row r="7" ht="22.5" customHeight="1">
      <c r="A7" s="11">
        <v>6.0</v>
      </c>
      <c r="B7" s="12" t="s">
        <v>273</v>
      </c>
      <c r="C7" s="8" t="s">
        <v>274</v>
      </c>
      <c r="D7" s="8" t="s">
        <v>275</v>
      </c>
      <c r="E7" s="8" t="s">
        <v>276</v>
      </c>
      <c r="F7" s="8" t="s">
        <v>277</v>
      </c>
      <c r="G7" s="8" t="s">
        <v>278</v>
      </c>
    </row>
    <row r="8" ht="22.5" customHeight="1">
      <c r="A8" s="11">
        <v>7.0</v>
      </c>
      <c r="B8" s="12" t="s">
        <v>279</v>
      </c>
      <c r="C8" s="8" t="s">
        <v>280</v>
      </c>
      <c r="D8" s="8" t="s">
        <v>281</v>
      </c>
      <c r="E8" s="8" t="s">
        <v>282</v>
      </c>
      <c r="F8" s="8" t="s">
        <v>283</v>
      </c>
      <c r="G8" s="8" t="s">
        <v>284</v>
      </c>
    </row>
    <row r="9" ht="22.5" customHeight="1">
      <c r="A9" s="11">
        <v>8.0</v>
      </c>
      <c r="B9" s="12" t="s">
        <v>285</v>
      </c>
      <c r="C9" s="8" t="s">
        <v>286</v>
      </c>
      <c r="D9" s="8" t="s">
        <v>287</v>
      </c>
      <c r="E9" s="8" t="s">
        <v>288</v>
      </c>
      <c r="F9" s="8" t="s">
        <v>289</v>
      </c>
      <c r="G9" s="8" t="s">
        <v>290</v>
      </c>
    </row>
    <row r="10" ht="22.5" customHeight="1">
      <c r="A10" s="11">
        <v>9.0</v>
      </c>
      <c r="B10" s="12" t="s">
        <v>291</v>
      </c>
      <c r="C10" s="8" t="s">
        <v>292</v>
      </c>
      <c r="D10" s="8" t="s">
        <v>293</v>
      </c>
      <c r="E10" s="8" t="s">
        <v>294</v>
      </c>
      <c r="F10" s="8" t="s">
        <v>295</v>
      </c>
      <c r="G10" s="8" t="s">
        <v>296</v>
      </c>
    </row>
    <row r="11" ht="22.5" customHeight="1">
      <c r="A11" s="11">
        <v>10.0</v>
      </c>
      <c r="B11" s="12" t="s">
        <v>297</v>
      </c>
      <c r="C11" s="8" t="s">
        <v>298</v>
      </c>
      <c r="D11" s="8" t="s">
        <v>299</v>
      </c>
      <c r="E11" s="8" t="s">
        <v>300</v>
      </c>
      <c r="F11" s="8" t="s">
        <v>301</v>
      </c>
      <c r="G11" s="8" t="s">
        <v>302</v>
      </c>
    </row>
    <row r="12" ht="22.5" customHeight="1">
      <c r="A12" s="11">
        <v>11.0</v>
      </c>
      <c r="B12" s="12" t="s">
        <v>303</v>
      </c>
      <c r="C12" s="8" t="s">
        <v>304</v>
      </c>
      <c r="D12" s="8" t="s">
        <v>246</v>
      </c>
      <c r="E12" s="8" t="s">
        <v>305</v>
      </c>
      <c r="F12" s="8" t="s">
        <v>306</v>
      </c>
      <c r="G12" s="8" t="s">
        <v>307</v>
      </c>
    </row>
    <row r="13" ht="22.5" customHeight="1">
      <c r="A13" s="11">
        <v>12.0</v>
      </c>
      <c r="B13" s="12" t="s">
        <v>308</v>
      </c>
      <c r="C13" s="8" t="s">
        <v>309</v>
      </c>
      <c r="D13" s="8" t="s">
        <v>310</v>
      </c>
      <c r="E13" s="8" t="s">
        <v>311</v>
      </c>
      <c r="F13" s="8" t="s">
        <v>312</v>
      </c>
      <c r="G13" s="8" t="s">
        <v>313</v>
      </c>
    </row>
  </sheetData>
  <dataValidations>
    <dataValidation type="custom" allowBlank="1" showDropDown="1" sqref="A2:A13">
      <formula1>AND(ISNUMBER(A2),(NOT(OR(NOT(ISERROR(DATEVALUE(A2))), AND(ISNUMBER(A2), LEFT(CELL("format", A2))="D")))))</formula1>
    </dataValidation>
  </dataValidations>
  <drawing r:id="rId1"/>
  <tableParts count="1">
    <tablePart r:id="rId3"/>
  </tableParts>
</worksheet>
</file>