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edback &amp; Suggestions" sheetId="1" r:id="rId4"/>
    <sheet state="visible" name=" Energy - SWB + Coal + Natural " sheetId="2" r:id="rId5"/>
    <sheet state="visible" name="Passenger Cars - EV+ICE+PHEV" sheetId="3" r:id="rId6"/>
    <sheet state="visible" name="Datacenter UPS Batteries" sheetId="4" r:id="rId7"/>
    <sheet state="visible" name="Lead" sheetId="5" r:id="rId8"/>
    <sheet state="visible" name="Copper" sheetId="6" r:id="rId9"/>
  </sheets>
  <definedNames/>
  <calcPr/>
</workbook>
</file>

<file path=xl/sharedStrings.xml><?xml version="1.0" encoding="utf-8"?>
<sst xmlns="http://schemas.openxmlformats.org/spreadsheetml/2006/main" count="242" uniqueCount="224">
  <si>
    <t>Analysis Area</t>
  </si>
  <si>
    <t>Feedback/ Suggestion</t>
  </si>
  <si>
    <t>Question on Analysis</t>
  </si>
  <si>
    <t>Name</t>
  </si>
  <si>
    <t>SWB + coal+ natural gas</t>
  </si>
  <si>
    <t>Peter</t>
  </si>
  <si>
    <t>Step #</t>
  </si>
  <si>
    <t>Step Title</t>
  </si>
  <si>
    <t>Step Description</t>
  </si>
  <si>
    <t>Key Outputs</t>
  </si>
  <si>
    <t>Select Region &amp; Load Datasets</t>
  </si>
  <si>
    <t>Start with a specific region (China, USA, etc.). Load all required historical datasets for cost, capacity, generation, and demand.</t>
  </si>
  <si>
    <t>Input data tables</t>
  </si>
  <si>
    <t>Forecast Cost Curves</t>
  </si>
  <si>
    <t>Apply log(Cost) transformation → compute long-run CAGR → forecast to 2040 → exponentiate back to normal cost levels.</t>
  </si>
  <si>
    <t>Forecasted LCOE for Solar, Wind, and Battery</t>
  </si>
  <si>
    <t>Compute Battery SCOE</t>
  </si>
  <si>
    <t>Use formula: SCOE = (Capex × 1000) / (Cycles × Duration × RTE) + Fixed O&amp;M. This gives levelized cost per MWh of battery discharge.</t>
  </si>
  <si>
    <t>SCOE ($/MWh)</t>
  </si>
  <si>
    <t>Compute SWB Stack Cost</t>
  </si>
  <si>
    <t>Combine costs of Solar, Wind, and SCOE using conservative (max) or weighted average approach.</t>
  </si>
  <si>
    <t>SWB Stack Cost ($/MWh)</t>
  </si>
  <si>
    <t>Compare with Incumbent LCOE</t>
  </si>
  <si>
    <t>Use either dataset or fallback values for coal/gas LCOE. Compare with SWB cost to find first tipping year.</t>
  </si>
  <si>
    <t>Tipping Point Year</t>
  </si>
  <si>
    <t>Forecast Electricity Demand</t>
  </si>
  <si>
    <t>Calculate average YoY growth from historical demand. Forecast forward to 2040.</t>
  </si>
  <si>
    <t>Forecasted Demand (TWh)</t>
  </si>
  <si>
    <t>Estimate Peak Load</t>
  </si>
  <si>
    <t>Use formula: Peak Load = Demand × 1000 / 8760 × Load Factor. This proxies maximum system load.</t>
  </si>
  <si>
    <t>Peak Load (GW)</t>
  </si>
  <si>
    <t>Forecast SWB Installed Capacity</t>
  </si>
  <si>
    <t>Forecast installed capacity for Solar, Wind, and Battery using historical CAGR.</t>
  </si>
  <si>
    <t>Forecasted Capacity (GW / GWh)</t>
  </si>
  <si>
    <t>Convert to Generation (TWh)</t>
  </si>
  <si>
    <t>Use: Generation = Capacity × Capacity Factor × 8760. Apply regional CFs to derive energy output.</t>
  </si>
  <si>
    <t>SWB Generation (TWh)</t>
  </si>
  <si>
    <t>Forecast Battery Throughput</t>
  </si>
  <si>
    <t>Compute annual battery energy discharge: Throughput = Energy Capacity × Cycles/year / 1000.</t>
  </si>
  <si>
    <t>Battery Throughput (TWh/year)</t>
  </si>
  <si>
    <t>Estimate Non-SWB Generation</t>
  </si>
  <si>
    <t>Include nuclear, hydro, or other fixed sources. If unavailable, derive from residuals in early years.</t>
  </si>
  <si>
    <t>Non-SWB Generation (TWh)</t>
  </si>
  <si>
    <t>Compute Residual Demand</t>
  </si>
  <si>
    <t>Subtract SWB and non-SWB generation from total demand. Residual = what coal/gas must meet.</t>
  </si>
  <si>
    <t>Residual Generation (TWh)</t>
  </si>
  <si>
    <t>Apply Displacement Sequence</t>
  </si>
  <si>
    <t>Displace coal and gas based on region’s policy: Coal-first or Gas-first. Respect reserve floors.</t>
  </si>
  <si>
    <t>Coal &amp; Gas Generation (TWh)</t>
  </si>
  <si>
    <t>Battery Power Sizing</t>
  </si>
  <si>
    <t>Compute battery power capacity: Power = Energy / Duration. Align with cost dataset default (e.g. 4 hrs).</t>
  </si>
  <si>
    <t>Power Capacity (GW)</t>
  </si>
  <si>
    <t>Generate Outputs</t>
  </si>
  <si>
    <t>Compile results: costs, capacities, generation, tipping year, demand, emissions (optional), global aggregates.</t>
  </si>
  <si>
    <t>Final structured outputs</t>
  </si>
  <si>
    <t>Select Region &amp; Load Data</t>
  </si>
  <si>
    <t>Work on each region (e.g., China, USA, Europe) independently. Load datasets for historical costs and sales volumes.</t>
  </si>
  <si>
    <t>Region name, datasets loaded</t>
  </si>
  <si>
    <t>Forecast Cost Curves (EV vs ICE)</t>
  </si>
  <si>
    <t>Convert EV and ICE cost time series to log(cost) → compute long-term CAGR → forecast forward → exponentiate back. Smooth with 3-year rolling median.</t>
  </si>
  <si>
    <t>Forecasted cost curves for EV and ICE</t>
  </si>
  <si>
    <t>Determine Tipping Point</t>
  </si>
  <si>
    <t>Identify the first year when forecasted EV cost &lt; ICE cost. If always lower: use earliest year. If never lower: tipping = None.</t>
  </si>
  <si>
    <t>Forecast Market Demand</t>
  </si>
  <si>
    <t>Start from Passenger_Vehicle_Annual_Sales_&lt;Region&gt; dataset. Use robust linear extrapolation method.</t>
  </si>
  <si>
    <t>Forecasted total market sales (to 2040)</t>
  </si>
  <si>
    <t>Estimate Historical EV Share</t>
  </si>
  <si>
    <t>Calculate BEV share = BEV sales / total sales. Skip zero-market years. Extend share linearly to tipping if tipping is in future.</t>
  </si>
  <si>
    <t>EV share history + projected pre-tipping share</t>
  </si>
  <si>
    <t>Forecast BEV Adoption (Post-Tipping)</t>
  </si>
  <si>
    <t>Fit logistic curve on share: s(t) = L / (1 + exp(-k(t - t₀))) using evolutionary optimization. Convert share to BEV sales.</t>
  </si>
  <si>
    <t>Forecasted BEV sales</t>
  </si>
  <si>
    <t>Forecast PHEV Sales (Chimera)</t>
  </si>
  <si>
    <t>Use dataset if available. Else, model a “hump” curve: rise till tipping, then decay with ~3-year half-life. Keep smooth &amp; realistic.</t>
  </si>
  <si>
    <t>Forecasted PHEV sales</t>
  </si>
  <si>
    <t>Compute ICE Sales (Residual)</t>
  </si>
  <si>
    <t>Calculate ICE = max(Market − BEV − PHEV, 0). Ensure ICE remains non-negative and capped at market demand.</t>
  </si>
  <si>
    <t>Forecasted ICE sales</t>
  </si>
  <si>
    <t>Compute Total EV Sales</t>
  </si>
  <si>
    <t>Add BEV + PHEV to get total EV demand. Clamp total to market size.</t>
  </si>
  <si>
    <t>BEV + PHEV = EV sales</t>
  </si>
  <si>
    <t>Validation &amp; Cleanup</t>
  </si>
  <si>
    <t>Clamp shares to [0, 1], ensure BEV + PHEV + ICE ≤ Market, validate all forecasts are non-negative and stable.</t>
  </si>
  <si>
    <t>Clean and internally consistent time series</t>
  </si>
  <si>
    <t>Define Scope &amp; Load Datasets</t>
  </si>
  <si>
    <t>Choose region (China, USA, Europe, RoW). Load cost, demand, and growth data. Distinguish between annual demand (MWh/year) and installed base (MWh stock).</t>
  </si>
  <si>
    <t>Region scope, datasets loaded</t>
  </si>
  <si>
    <t>Determine Cost Parity (Tipping Point)</t>
  </si>
  <si>
    <t>Compute Total Cost of Ownership (TCO) for Li-ion and VRLA using CapEx + OpEx + replacement costs. Tipping = first year Li-ion TCO ≤ VRLA TCO for ≥3 consecutive years.</t>
  </si>
  <si>
    <t>Tipping Year</t>
  </si>
  <si>
    <t>Decompose Market Demand</t>
  </si>
  <si>
    <t>Split total UPS battery demand into: New Builds + Replacements. Use total demand datasets for validation only (not input constraint).</t>
  </si>
  <si>
    <t>New Build (MWh/year), Replacement (MWh/year)</t>
  </si>
  <si>
    <t>Track Installed Base &amp; Retirements</t>
  </si>
  <si>
    <t>Maintain Li-ion and VRLA installed base. Model retirements using lifespan (Li-ion = 12y, VRLA = 5y). Replacement demand comes from retiring stock.</t>
  </si>
  <si>
    <t>Annual installed base and retirements</t>
  </si>
  <si>
    <t>Adoption Modeling (S-curve)</t>
  </si>
  <si>
    <t>Use logistic adoption model: Li-ion share M(t) = L / (1 + exp(−k(t − t₀))). Calibrate k to Cost_Advantage (Li-ion TCO − VRLA TCO). Split adoption across new builds and replacements.</t>
  </si>
  <si>
    <t>Li-ion and VRLA share forecasts</t>
  </si>
  <si>
    <t>Battery Duration &amp; Power Metrics (optional)</t>
  </si>
  <si>
    <t>Use duration (default 4h) to derive power capacity from energy, and compute throughput (TWh/year). Can support material intensity or grid impact analysis.</t>
  </si>
  <si>
    <t>Power (GW), Throughput (TWh), optional</t>
  </si>
  <si>
    <t>New Build Forecasting</t>
  </si>
  <si>
    <t>Use datacenter growth projections to forecast total demand. Derive new build = Total Market − Replacements. If growth rates unavailable, apply CAGR.</t>
  </si>
  <si>
    <t>Annual New Build demand (MWh/year)</t>
  </si>
  <si>
    <t>Replacement Forecasting</t>
  </si>
  <si>
    <t>Compute replacements using contestable retirements from installed base. Li-ion replacements = M(t) × Contestable.</t>
  </si>
  <si>
    <t>Annual Replacement demand (MWh/year)</t>
  </si>
  <si>
    <t>Apply Recommended Defaults</t>
  </si>
  <si>
    <t>Use standardized values where data is missing (e.g., VRLA cost = $220/kWh, Li-ion learning rate = 6–12%, OpEx defaults).</t>
  </si>
  <si>
    <t>Complete model inputs</t>
  </si>
  <si>
    <t>Validate &amp; Reconcile Outputs</t>
  </si>
  <si>
    <t>Check mass balance of adds − retirements vs stock. Ensure forecast logic (e.g., increasing adoption with cost advantage) and output reasonableness.</t>
  </si>
  <si>
    <t>Validated forecasts with &lt;0.1% error</t>
  </si>
  <si>
    <t>Output Generation</t>
  </si>
  <si>
    <t>Export: tipping flag, technology shares, capacity demand by source, retirements, installed base, pricing, revenues, and cost advantage per year.</t>
  </si>
  <si>
    <t>Final structured dataset</t>
  </si>
  <si>
    <t>Global Aggregation</t>
  </si>
  <si>
    <t>Aggregate regional outputs for Global using: Global = China + USA + Europe + RoW. Avoid double counting.</t>
  </si>
  <si>
    <t>Global demand and adoption curve</t>
  </si>
  <si>
    <t>Scope &amp; Objectives</t>
  </si>
  <si>
    <t>Define the forecast horizon, granularity (global, sub-segments), and primary units. Demand = new-build + replacement.</t>
  </si>
  <si>
    <t>Defined scope; forecasting framework foundation</t>
  </si>
  <si>
    <t>Top-Level Forecast Identity</t>
  </si>
  <si>
    <t>Define the main forecasting identity: Total_Lead_Demand = Demand_Battery + Demand_Other_Uses. Battery demand constitutes ~85% of refined lead use.</t>
  </si>
  <si>
    <t>Overall model identity separating battery/others</t>
  </si>
  <si>
    <t>Battery Demand Decomposition</t>
  </si>
  <si>
    <t>Break Demand_Battery into Demand_SLI and Demand_Industrial. Each has new-build (OEM/Install) and replacement flows.</t>
  </si>
  <si>
    <t>Hierarchical structure of battery-related demand</t>
  </si>
  <si>
    <t>Segment-Level Demand Identity</t>
  </si>
  <si>
    <t>Express each segment’s demand as: Demand_Segment(t) = New_Build_Demand(t) + Replacement_Demand(t).</t>
  </si>
  <si>
    <t>Uniform segment-level demand logic</t>
  </si>
  <si>
    <t>Installed-Base Accounting &amp; Lifetimes</t>
  </si>
  <si>
    <t>Use IB(t+1) = IB(t) + Adds - replacemnets; derive replacements via IB / battery_life.</t>
  </si>
  <si>
    <t>Installed base trajectories and replacement demand</t>
  </si>
  <si>
    <t>New-Build Modeling</t>
  </si>
  <si>
    <t>Estimate new-build demand using new asset sales/installations × lead coefficients (kg/unit or kg/MWh).</t>
  </si>
  <si>
    <t>SLI OEM, Motive new, and Stationary new demand</t>
  </si>
  <si>
    <t>Replacement Modeling</t>
  </si>
  <si>
    <t>Estimate contestable batteries and compute replacements using IB / battery_lifetime × kg/unit.</t>
  </si>
  <si>
    <t>SLI, Motive, and Stationary replacement demand</t>
  </si>
  <si>
    <t>Other Uses Modeling</t>
  </si>
  <si>
    <t>Forecast ~15% "Other Uses" via lienar regression</t>
  </si>
  <si>
    <t>Forecast of non-battery industrial uses</t>
  </si>
  <si>
    <t>Data Mapping &amp; Fallbacks</t>
  </si>
  <si>
    <t>Identify required inputs (sales, stocks, lifespans); define fallback logic for missing coefficients or IB.</t>
  </si>
  <si>
    <t>Complete input map; fallback/assumption rules</t>
  </si>
  <si>
    <t>Aggregation</t>
  </si>
  <si>
    <t>Sum all components.</t>
  </si>
  <si>
    <t>Full lead demand forecast</t>
  </si>
  <si>
    <t>Inputs</t>
  </si>
  <si>
    <t>Equation (concise)</t>
  </si>
  <si>
    <t>Guardrails</t>
  </si>
  <si>
    <t>Outputs</t>
  </si>
  <si>
    <t>Forecasting identities</t>
  </si>
  <si>
    <t>Define the equations used throughout the forecast; every segment equals OEM + Replacement; total equals sum of segments.</t>
  </si>
  <si>
    <t>N/A</t>
  </si>
  <si>
    <t>Total(t) = Grid(t) + Construction(t) + Automotive(t) + Industrial(t) + Electronics(t) + OtherUses(t); S(t) = S_OEM(t) + S_Repl(t)</t>
  </si>
  <si>
    <t>Keep identities fixed across scenarios; units = tonnes/year.</t>
  </si>
  <si>
    <t>Equation set to be referenced downstream.</t>
  </si>
  <si>
    <t>Annual Installed Base (IB) updates</t>
  </si>
  <si>
    <t>Build forward Installed Base (IB) for assets that drive replacement flows.</t>
  </si>
  <si>
    <t>Prior-year IB for each asset; Adds/new builds; lifetimes</t>
  </si>
  <si>
    <t>IB_A(t) = IB_A(t−1) + Adds_A(t) − Scrappage_A(t); Scrappage_A(t) ≈ IB_A(t−1) / Life_Asset_A</t>
  </si>
  <si>
    <t>Clamp IB ≥ 0; smooth Adds with 3-yr rolling median if noisy.</t>
  </si>
  <si>
    <t>IB time series (T&amp;D km, transformer GW, buildings sqm, motors MW, etc.).</t>
  </si>
  <si>
    <t>Automotive OEM demand</t>
  </si>
  <si>
    <t>Forecast copper in vehicles from new sales by class &amp; powertrain.</t>
  </si>
  <si>
    <t>Annual sales by (Cars/CV/2W/3W) × (ICE/HEV/PHEV/BEV); kg/unit coefficients</t>
  </si>
  <si>
    <t>Auto_OEM(t) = Σ_{v,p} Sales_{v,p}(t) × k_{v,p} / 1000</t>
  </si>
  <si>
    <t>Use distinct k for BEV vs ICE (BEV ≈ 3–4× ICE); non-negativity; outlier check vs historical mix.</t>
  </si>
  <si>
    <t>Auto_OEM_tonnes(t)</t>
  </si>
  <si>
    <t>Automotive replacement</t>
  </si>
  <si>
    <t>Copper replaced with the vehicle itself; captured via OEM sales.</t>
  </si>
  <si>
    <t>Auto_Repl(t) = 0</t>
  </si>
  <si>
    <t>Confirm no duplicate counting via fleet models.</t>
  </si>
  <si>
    <t>Auto_Repl_tonnes(t) = 0</t>
  </si>
  <si>
    <t>Construction OEM</t>
  </si>
  <si>
    <t>Forecast copper in new buildings (resi &amp; non-resi).</t>
  </si>
  <si>
    <t>New completions: resi_sqm(t), nonresi_sqm(t); kg/sqm coefficients</t>
  </si>
  <si>
    <t>Constr_OEM(t) = resi_sqm × k_resi_new / 1000 + nonresi_sqm × k_nonresi_new / 1000</t>
  </si>
  <si>
    <t>Split resi/non-resi; ensure sqm sources are consistent; apply smoothing if volatile.</t>
  </si>
  <si>
    <t>Construction_OEM_tonnes(t)</t>
  </si>
  <si>
    <t>Construction replacement</t>
  </si>
  <si>
    <t>Model copper used in retrofits/renovations.</t>
  </si>
  <si>
    <t>IB floorspace (IB_resi_sqm, IB_nonresi_sqm); retrofit life; retrofit kg/sqm</t>
  </si>
  <si>
    <t>Constr_Repl(t) = (IB_resi_sqm/Life_retrofit) × k_resi_retrofit /1000 + (IB_nonresi_sqm/Life_retrofit) × k_nonresi_retrofit /1000</t>
  </si>
  <si>
    <t>Region-specific cycles allowed; smooth IB; non-negativity.</t>
  </si>
  <si>
    <t>Construction_Replacement_tonnes(t)</t>
  </si>
  <si>
    <t>Grid OEM</t>
  </si>
  <si>
    <t>Forecast copper for new generation, lines, transformers.</t>
  </si>
  <si>
    <t>New gen MW by type (on/offshore wind, solar, gas…); new T&amp;D km by voltage; new transformer GW; tonnes/MW, tonnes/km, tonnes/GW</t>
  </si>
  <si>
    <t>Grid_OEM(t) = Σ NewGen_MW × k_perMW + New_T&amp;D_km × k_perKm + New_Transformer_GW × k_perGW</t>
  </si>
  <si>
    <t>Separate transmission vs distribution; offshore wind often highest k; check unit consistency (MW vs GW).</t>
  </si>
  <si>
    <t>Grid_OEM_tonnes(t)</t>
  </si>
  <si>
    <t>Grid replacement</t>
  </si>
  <si>
    <t>Copper for refurbishment of T&amp;D and transformers.</t>
  </si>
  <si>
    <t>IB T&amp;D km; IB transformer GW; grid life; same k as OEM</t>
  </si>
  <si>
    <t>Grid_Repl(t) = (IB_T&amp;D_km/Life_grid) × k_perKm + (IB_Transformer_GW/Life_grid) × k_perGW</t>
  </si>
  <si>
    <t>If voltage classes available, compute per class; smooth IB.</t>
  </si>
  <si>
    <t>Grid_Replacement_tonnes(t)</t>
  </si>
  <si>
    <t>Industrial OEM &amp; replacement</t>
  </si>
  <si>
    <t>Forecast copper in motors/HVAC/machinery.</t>
  </si>
  <si>
    <t>Motor sales MW; Motor IB MW; motor life; tonnes/MW</t>
  </si>
  <si>
    <t>Ind_OEM(t) = Sales_Motors_MW × k_perMW; Ind_Repl(t) = (IB_Motors_MW/Life_motor) × k_perMW</t>
  </si>
  <si>
    <t>Extend to other machinery if you have drivers; non-negativity; smooth noisy series.</t>
  </si>
  <si>
    <t>Industrial_OEM_tonnes(t), Industrial_Replacement_tonnes(t)</t>
  </si>
  <si>
    <t>Electronics OEM</t>
  </si>
  <si>
    <t>Copper in devices (replacement via sales).</t>
  </si>
  <si>
    <t>Device sales (phones, PCs, appliances…); kg/unit</t>
  </si>
  <si>
    <t>Elec_OEM(t) = Σ Sales_device × k_device / 1000</t>
  </si>
  <si>
    <t>Ensure no double counting; treat premium vs mass-market coefficients if needed.</t>
  </si>
  <si>
    <t>Electronics_OEM_tonnes(t)</t>
  </si>
  <si>
    <t>Electronics replacement</t>
  </si>
  <si>
    <t>Replacement captured as new sales.</t>
  </si>
  <si>
    <t>Elec_Repl(t) = 0</t>
  </si>
  <si>
    <t>—</t>
  </si>
  <si>
    <t>Electronics_Replacement_tonnes(t) = 0</t>
  </si>
  <si>
    <t>Aggregate bottom-up demand</t>
  </si>
  <si>
    <t>Sum all OEM + Replacement + Other Uses to get total demand.</t>
  </si>
  <si>
    <t>All segment outputs from Steps 3–13</t>
  </si>
  <si>
    <t>Total(t) = (Auto_OEM + Constr_OEM + Grid_OEM + Ind_OEM + Elec_OEM) + (Auto_Repl + Constr_Repl + Grid_Repl + Ind_Repl + Elec_Repl) + Other_Uses</t>
  </si>
  <si>
    <t>Non-negativity; 3-yr rolling median optional; max YoY growth guard (e.g., ≤25%).</t>
  </si>
  <si>
    <t>Total_Copper_Demand_tonnes(t)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</si>
</sst>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righ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>
    <tableStyle count="4" pivot="0" name="Feedback &amp; Sugges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 Energy - SWB + Coal + Natural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assenger Cars - EV+ICE+PHEV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tacenter UPS Batte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a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p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6" displayName="Feedback_on_Analysis" name="Feedback_on_Analysis" id="1">
  <tableColumns count="4">
    <tableColumn name="Analysis Area" id="1"/>
    <tableColumn name="Feedback/ Suggestion" id="2"/>
    <tableColumn name="Question on Analysis" id="3"/>
    <tableColumn name="Name" id="4"/>
  </tableColumns>
  <tableStyleInfo name="Feedback &amp; Suggestions-style" showColumnStripes="0" showFirstColumn="1" showLastColumn="1" showRowStripes="1"/>
</table>
</file>

<file path=xl/tables/table2.xml><?xml version="1.0" encoding="utf-8"?>
<table xmlns="http://schemas.openxmlformats.org/spreadsheetml/2006/main" ref="A1:D16" displayName="Electricity_Demand_Forecasting" name="Electricity_Demand_Forecasting" id="2">
  <tableColumns count="4">
    <tableColumn name="Step #" id="1"/>
    <tableColumn name="Step Title" id="2"/>
    <tableColumn name="Step Description" id="3"/>
    <tableColumn name="Key Outputs" id="4"/>
  </tableColumns>
  <tableStyleInfo name=" Energy - SWB + Coal + Natural -style" showColumnStripes="0" showFirstColumn="1" showLastColumn="1" showRowStripes="1"/>
</table>
</file>

<file path=xl/tables/table3.xml><?xml version="1.0" encoding="utf-8"?>
<table xmlns="http://schemas.openxmlformats.org/spreadsheetml/2006/main" ref="A1:D11" displayName="Car_Sales_Forecast_Steps" name="Car_Sales_Forecast_Steps" id="3">
  <tableColumns count="4">
    <tableColumn name="Step #" id="1"/>
    <tableColumn name="Step Title" id="2"/>
    <tableColumn name="Step Description" id="3"/>
    <tableColumn name="Key Outputs" id="4"/>
  </tableColumns>
  <tableStyleInfo name="Passenger Cars - EV+ICE+PHEV-style" showColumnStripes="0" showFirstColumn="1" showLastColumn="1" showRowStripes="1"/>
</table>
</file>

<file path=xl/tables/table4.xml><?xml version="1.0" encoding="utf-8"?>
<table xmlns="http://schemas.openxmlformats.org/spreadsheetml/2006/main" ref="A1:D13" displayName="UPS_Modeling_Steps" name="UPS_Modeling_Steps" id="4">
  <tableColumns count="4">
    <tableColumn name="Step #" id="1"/>
    <tableColumn name="Step Title" id="2"/>
    <tableColumn name="Step Description" id="3"/>
    <tableColumn name="Key Outputs" id="4"/>
  </tableColumns>
  <tableStyleInfo name="Datacenter UPS Batteries-style" showColumnStripes="0" showFirstColumn="1" showLastColumn="1" showRowStripes="1"/>
</table>
</file>

<file path=xl/tables/table5.xml><?xml version="1.0" encoding="utf-8"?>
<table xmlns="http://schemas.openxmlformats.org/spreadsheetml/2006/main" ref="A1:D11" displayName="Lead_Forecast_Steps" name="Lead_Forecast_Steps" id="5">
  <tableColumns count="4">
    <tableColumn name="Step #" id="1"/>
    <tableColumn name="Step Title" id="2"/>
    <tableColumn name="Step Description" id="3"/>
    <tableColumn name="Key Outputs" id="4"/>
  </tableColumns>
  <tableStyleInfo name="Lead-style" showColumnStripes="0" showFirstColumn="1" showLastColumn="1" showRowStripes="1"/>
</table>
</file>

<file path=xl/tables/table6.xml><?xml version="1.0" encoding="utf-8"?>
<table xmlns="http://schemas.openxmlformats.org/spreadsheetml/2006/main" ref="A1:G13" displayName="Copper_Forecasting_Steps" name="Copper_Forecasting_Steps" id="6">
  <tableColumns count="7">
    <tableColumn name="Step #" id="1"/>
    <tableColumn name="Step Title" id="2"/>
    <tableColumn name="Step Description" id="3"/>
    <tableColumn name="Inputs" id="4"/>
    <tableColumn name="Equation (concise)" id="5"/>
    <tableColumn name="Guardrails" id="6"/>
    <tableColumn name="Outputs" id="7"/>
  </tableColumns>
  <tableStyleInfo name="Copp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25"/>
    <col customWidth="1" min="2" max="2" width="50.75"/>
    <col customWidth="1" min="3" max="3" width="41.0"/>
    <col customWidth="1" min="4" max="4" width="41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</row>
    <row r="2" ht="22.5" customHeight="1">
      <c r="A2" s="2" t="s">
        <v>4</v>
      </c>
      <c r="B2" s="3"/>
      <c r="C2" s="2"/>
      <c r="D2" s="2" t="s">
        <v>5</v>
      </c>
    </row>
    <row r="3" ht="22.5" customHeight="1">
      <c r="A3" s="3"/>
      <c r="B3" s="3"/>
      <c r="C3" s="3"/>
      <c r="D3" s="3"/>
    </row>
    <row r="4" ht="22.5" customHeight="1">
      <c r="A4" s="3"/>
      <c r="B4" s="3"/>
      <c r="C4" s="3"/>
      <c r="D4" s="3"/>
    </row>
    <row r="5" ht="22.5" customHeight="1">
      <c r="A5" s="3"/>
      <c r="B5" s="3"/>
      <c r="C5" s="3"/>
      <c r="D5" s="3"/>
    </row>
    <row r="6" ht="22.5" customHeight="1">
      <c r="A6" s="3"/>
      <c r="B6" s="3"/>
      <c r="C6" s="3"/>
      <c r="D6" s="3"/>
    </row>
    <row r="7" ht="22.5" customHeight="1">
      <c r="A7" s="3"/>
      <c r="B7" s="3"/>
      <c r="C7" s="3"/>
      <c r="D7" s="3"/>
    </row>
    <row r="8" ht="22.5" customHeight="1">
      <c r="A8" s="3"/>
      <c r="B8" s="3"/>
      <c r="C8" s="3"/>
      <c r="D8" s="3"/>
    </row>
    <row r="9" ht="22.5" customHeight="1">
      <c r="A9" s="3"/>
      <c r="B9" s="3"/>
      <c r="C9" s="3"/>
      <c r="D9" s="3"/>
    </row>
    <row r="10" ht="22.5" customHeight="1">
      <c r="A10" s="3"/>
      <c r="B10" s="3"/>
      <c r="C10" s="3"/>
      <c r="D10" s="3"/>
    </row>
    <row r="11" ht="22.5" customHeight="1">
      <c r="A11" s="3"/>
      <c r="B11" s="3"/>
      <c r="C11" s="3"/>
      <c r="D11" s="3"/>
    </row>
    <row r="12" ht="22.5" customHeight="1">
      <c r="A12" s="3"/>
      <c r="B12" s="3"/>
      <c r="C12" s="3"/>
      <c r="D12" s="3"/>
    </row>
    <row r="13" ht="22.5" customHeight="1">
      <c r="A13" s="3"/>
      <c r="B13" s="3"/>
      <c r="C13" s="3"/>
      <c r="D13" s="3"/>
    </row>
    <row r="14" ht="22.5" customHeight="1">
      <c r="A14" s="3"/>
      <c r="B14" s="3"/>
      <c r="C14" s="3"/>
      <c r="D14" s="3"/>
    </row>
    <row r="15" ht="22.5" customHeight="1">
      <c r="A15" s="3"/>
      <c r="B15" s="3"/>
      <c r="C15" s="3"/>
      <c r="D15" s="3"/>
    </row>
    <row r="16" ht="22.5" customHeight="1">
      <c r="A16" s="3"/>
      <c r="B16" s="3"/>
      <c r="C16" s="3"/>
      <c r="D16" s="3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35.88"/>
    <col customWidth="1" min="3" max="3" width="65.63"/>
    <col customWidth="1" min="4" max="4" width="37.0"/>
  </cols>
  <sheetData>
    <row r="1" ht="22.5" customHeight="1">
      <c r="A1" s="4" t="s">
        <v>6</v>
      </c>
      <c r="B1" s="4" t="s">
        <v>7</v>
      </c>
      <c r="C1" s="5" t="s">
        <v>8</v>
      </c>
      <c r="D1" s="4" t="s">
        <v>9</v>
      </c>
    </row>
    <row r="2" ht="22.5" customHeight="1">
      <c r="A2" s="6">
        <v>1.0</v>
      </c>
      <c r="B2" s="7" t="s">
        <v>10</v>
      </c>
      <c r="C2" s="8" t="s">
        <v>11</v>
      </c>
      <c r="D2" s="2" t="s">
        <v>12</v>
      </c>
    </row>
    <row r="3" ht="22.5" customHeight="1">
      <c r="A3" s="6">
        <v>2.0</v>
      </c>
      <c r="B3" s="7" t="s">
        <v>13</v>
      </c>
      <c r="C3" s="8" t="s">
        <v>14</v>
      </c>
      <c r="D3" s="2" t="s">
        <v>15</v>
      </c>
    </row>
    <row r="4" ht="22.5" customHeight="1">
      <c r="A4" s="6">
        <v>3.0</v>
      </c>
      <c r="B4" s="7" t="s">
        <v>16</v>
      </c>
      <c r="C4" s="8" t="s">
        <v>17</v>
      </c>
      <c r="D4" s="2" t="s">
        <v>18</v>
      </c>
    </row>
    <row r="5" ht="22.5" customHeight="1">
      <c r="A5" s="6">
        <v>4.0</v>
      </c>
      <c r="B5" s="7" t="s">
        <v>19</v>
      </c>
      <c r="C5" s="8" t="s">
        <v>20</v>
      </c>
      <c r="D5" s="2" t="s">
        <v>21</v>
      </c>
    </row>
    <row r="6" ht="22.5" customHeight="1">
      <c r="A6" s="6">
        <v>5.0</v>
      </c>
      <c r="B6" s="7" t="s">
        <v>22</v>
      </c>
      <c r="C6" s="8" t="s">
        <v>23</v>
      </c>
      <c r="D6" s="2" t="s">
        <v>24</v>
      </c>
    </row>
    <row r="7" ht="22.5" customHeight="1">
      <c r="A7" s="6">
        <v>6.0</v>
      </c>
      <c r="B7" s="7" t="s">
        <v>25</v>
      </c>
      <c r="C7" s="8" t="s">
        <v>26</v>
      </c>
      <c r="D7" s="2" t="s">
        <v>27</v>
      </c>
    </row>
    <row r="8" ht="22.5" customHeight="1">
      <c r="A8" s="6">
        <v>7.0</v>
      </c>
      <c r="B8" s="7" t="s">
        <v>28</v>
      </c>
      <c r="C8" s="8" t="s">
        <v>29</v>
      </c>
      <c r="D8" s="2" t="s">
        <v>30</v>
      </c>
    </row>
    <row r="9" ht="22.5" customHeight="1">
      <c r="A9" s="6">
        <v>8.0</v>
      </c>
      <c r="B9" s="7" t="s">
        <v>31</v>
      </c>
      <c r="C9" s="8" t="s">
        <v>32</v>
      </c>
      <c r="D9" s="2" t="s">
        <v>33</v>
      </c>
    </row>
    <row r="10" ht="22.5" customHeight="1">
      <c r="A10" s="6">
        <v>9.0</v>
      </c>
      <c r="B10" s="7" t="s">
        <v>34</v>
      </c>
      <c r="C10" s="8" t="s">
        <v>35</v>
      </c>
      <c r="D10" s="2" t="s">
        <v>36</v>
      </c>
    </row>
    <row r="11" ht="22.5" customHeight="1">
      <c r="A11" s="6">
        <v>10.0</v>
      </c>
      <c r="B11" s="7" t="s">
        <v>37</v>
      </c>
      <c r="C11" s="8" t="s">
        <v>38</v>
      </c>
      <c r="D11" s="2" t="s">
        <v>39</v>
      </c>
    </row>
    <row r="12" ht="22.5" customHeight="1">
      <c r="A12" s="6">
        <v>11.0</v>
      </c>
      <c r="B12" s="7" t="s">
        <v>40</v>
      </c>
      <c r="C12" s="8" t="s">
        <v>41</v>
      </c>
      <c r="D12" s="2" t="s">
        <v>42</v>
      </c>
    </row>
    <row r="13" ht="22.5" customHeight="1">
      <c r="A13" s="6">
        <v>12.0</v>
      </c>
      <c r="B13" s="7" t="s">
        <v>43</v>
      </c>
      <c r="C13" s="8" t="s">
        <v>44</v>
      </c>
      <c r="D13" s="2" t="s">
        <v>45</v>
      </c>
    </row>
    <row r="14" ht="22.5" customHeight="1">
      <c r="A14" s="6">
        <v>13.0</v>
      </c>
      <c r="B14" s="7" t="s">
        <v>46</v>
      </c>
      <c r="C14" s="8" t="s">
        <v>47</v>
      </c>
      <c r="D14" s="2" t="s">
        <v>48</v>
      </c>
    </row>
    <row r="15" ht="22.5" customHeight="1">
      <c r="A15" s="6">
        <v>14.0</v>
      </c>
      <c r="B15" s="7" t="s">
        <v>49</v>
      </c>
      <c r="C15" s="8" t="s">
        <v>50</v>
      </c>
      <c r="D15" s="2" t="s">
        <v>51</v>
      </c>
    </row>
    <row r="16" ht="22.5" customHeight="1">
      <c r="A16" s="6">
        <v>15.0</v>
      </c>
      <c r="B16" s="7" t="s">
        <v>52</v>
      </c>
      <c r="C16" s="8" t="s">
        <v>53</v>
      </c>
      <c r="D16" s="2" t="s">
        <v>54</v>
      </c>
    </row>
  </sheetData>
  <dataValidations>
    <dataValidation type="custom" allowBlank="1" showDropDown="1" sqref="A2:A16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33.38"/>
    <col customWidth="1" min="3" max="3" width="48.88"/>
    <col customWidth="1" min="4" max="4" width="35.88"/>
  </cols>
  <sheetData>
    <row r="1" ht="22.5" customHeight="1">
      <c r="A1" s="9" t="s">
        <v>6</v>
      </c>
      <c r="B1" s="9" t="s">
        <v>7</v>
      </c>
      <c r="C1" s="10" t="s">
        <v>8</v>
      </c>
      <c r="D1" s="9" t="s">
        <v>9</v>
      </c>
    </row>
    <row r="2" ht="22.5" customHeight="1">
      <c r="A2" s="6">
        <v>1.0</v>
      </c>
      <c r="B2" s="7" t="s">
        <v>55</v>
      </c>
      <c r="C2" s="8" t="s">
        <v>56</v>
      </c>
      <c r="D2" s="2" t="s">
        <v>57</v>
      </c>
    </row>
    <row r="3" ht="22.5" customHeight="1">
      <c r="A3" s="6">
        <v>2.0</v>
      </c>
      <c r="B3" s="7" t="s">
        <v>58</v>
      </c>
      <c r="C3" s="8" t="s">
        <v>59</v>
      </c>
      <c r="D3" s="2" t="s">
        <v>60</v>
      </c>
    </row>
    <row r="4" ht="22.5" customHeight="1">
      <c r="A4" s="6">
        <v>3.0</v>
      </c>
      <c r="B4" s="7" t="s">
        <v>61</v>
      </c>
      <c r="C4" s="8" t="s">
        <v>62</v>
      </c>
      <c r="D4" s="2" t="s">
        <v>24</v>
      </c>
    </row>
    <row r="5" ht="22.5" customHeight="1">
      <c r="A5" s="6">
        <v>4.0</v>
      </c>
      <c r="B5" s="7" t="s">
        <v>63</v>
      </c>
      <c r="C5" s="8" t="s">
        <v>64</v>
      </c>
      <c r="D5" s="2" t="s">
        <v>65</v>
      </c>
    </row>
    <row r="6" ht="22.5" customHeight="1">
      <c r="A6" s="6">
        <v>5.0</v>
      </c>
      <c r="B6" s="7" t="s">
        <v>66</v>
      </c>
      <c r="C6" s="8" t="s">
        <v>67</v>
      </c>
      <c r="D6" s="2" t="s">
        <v>68</v>
      </c>
    </row>
    <row r="7" ht="22.5" customHeight="1">
      <c r="A7" s="6">
        <v>6.0</v>
      </c>
      <c r="B7" s="7" t="s">
        <v>69</v>
      </c>
      <c r="C7" s="8" t="s">
        <v>70</v>
      </c>
      <c r="D7" s="2" t="s">
        <v>71</v>
      </c>
    </row>
    <row r="8" ht="22.5" customHeight="1">
      <c r="A8" s="6">
        <v>7.0</v>
      </c>
      <c r="B8" s="7" t="s">
        <v>72</v>
      </c>
      <c r="C8" s="8" t="s">
        <v>73</v>
      </c>
      <c r="D8" s="2" t="s">
        <v>74</v>
      </c>
    </row>
    <row r="9" ht="22.5" customHeight="1">
      <c r="A9" s="6">
        <v>8.0</v>
      </c>
      <c r="B9" s="7" t="s">
        <v>75</v>
      </c>
      <c r="C9" s="8" t="s">
        <v>76</v>
      </c>
      <c r="D9" s="2" t="s">
        <v>77</v>
      </c>
    </row>
    <row r="10" ht="22.5" customHeight="1">
      <c r="A10" s="6">
        <v>9.0</v>
      </c>
      <c r="B10" s="7" t="s">
        <v>78</v>
      </c>
      <c r="C10" s="8" t="s">
        <v>79</v>
      </c>
      <c r="D10" s="2" t="s">
        <v>80</v>
      </c>
    </row>
    <row r="11" ht="22.5" customHeight="1">
      <c r="A11" s="6">
        <v>10.0</v>
      </c>
      <c r="B11" s="7" t="s">
        <v>81</v>
      </c>
      <c r="C11" s="8" t="s">
        <v>82</v>
      </c>
      <c r="D11" s="2" t="s">
        <v>83</v>
      </c>
    </row>
  </sheetData>
  <dataValidations>
    <dataValidation type="custom" allowBlank="1" showDropDown="1" sqref="A2:A1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5.63"/>
    <col customWidth="1" min="3" max="3" width="58.0"/>
    <col customWidth="1" min="4" max="4" width="37.63"/>
  </cols>
  <sheetData>
    <row r="1" ht="22.5" customHeight="1">
      <c r="A1" s="9" t="s">
        <v>6</v>
      </c>
      <c r="B1" s="9" t="s">
        <v>7</v>
      </c>
      <c r="C1" s="10" t="s">
        <v>8</v>
      </c>
      <c r="D1" s="9" t="s">
        <v>9</v>
      </c>
    </row>
    <row r="2" ht="22.5" customHeight="1">
      <c r="A2" s="2">
        <v>1.0</v>
      </c>
      <c r="B2" s="7" t="s">
        <v>84</v>
      </c>
      <c r="C2" s="8" t="s">
        <v>85</v>
      </c>
      <c r="D2" s="2" t="s">
        <v>86</v>
      </c>
    </row>
    <row r="3" ht="22.5" customHeight="1">
      <c r="A3" s="2">
        <v>2.0</v>
      </c>
      <c r="B3" s="7" t="s">
        <v>87</v>
      </c>
      <c r="C3" s="8" t="s">
        <v>88</v>
      </c>
      <c r="D3" s="2" t="s">
        <v>89</v>
      </c>
    </row>
    <row r="4" ht="22.5" customHeight="1">
      <c r="A4" s="2">
        <v>3.0</v>
      </c>
      <c r="B4" s="7" t="s">
        <v>90</v>
      </c>
      <c r="C4" s="8" t="s">
        <v>91</v>
      </c>
      <c r="D4" s="2" t="s">
        <v>92</v>
      </c>
    </row>
    <row r="5" ht="22.5" customHeight="1">
      <c r="A5" s="2">
        <v>4.0</v>
      </c>
      <c r="B5" s="7" t="s">
        <v>93</v>
      </c>
      <c r="C5" s="8" t="s">
        <v>94</v>
      </c>
      <c r="D5" s="2" t="s">
        <v>95</v>
      </c>
    </row>
    <row r="6" ht="22.5" customHeight="1">
      <c r="A6" s="2">
        <v>5.0</v>
      </c>
      <c r="B6" s="7" t="s">
        <v>96</v>
      </c>
      <c r="C6" s="8" t="s">
        <v>97</v>
      </c>
      <c r="D6" s="2" t="s">
        <v>98</v>
      </c>
    </row>
    <row r="7" ht="22.5" customHeight="1">
      <c r="A7" s="2">
        <v>6.0</v>
      </c>
      <c r="B7" s="7" t="s">
        <v>99</v>
      </c>
      <c r="C7" s="8" t="s">
        <v>100</v>
      </c>
      <c r="D7" s="2" t="s">
        <v>101</v>
      </c>
    </row>
    <row r="8" ht="22.5" customHeight="1">
      <c r="A8" s="2">
        <v>7.0</v>
      </c>
      <c r="B8" s="7" t="s">
        <v>102</v>
      </c>
      <c r="C8" s="8" t="s">
        <v>103</v>
      </c>
      <c r="D8" s="2" t="s">
        <v>104</v>
      </c>
    </row>
    <row r="9" ht="22.5" customHeight="1">
      <c r="A9" s="2">
        <v>8.0</v>
      </c>
      <c r="B9" s="7" t="s">
        <v>105</v>
      </c>
      <c r="C9" s="8" t="s">
        <v>106</v>
      </c>
      <c r="D9" s="2" t="s">
        <v>107</v>
      </c>
    </row>
    <row r="10" ht="22.5" customHeight="1">
      <c r="A10" s="2">
        <v>9.0</v>
      </c>
      <c r="B10" s="7" t="s">
        <v>108</v>
      </c>
      <c r="C10" s="8" t="s">
        <v>109</v>
      </c>
      <c r="D10" s="2" t="s">
        <v>110</v>
      </c>
    </row>
    <row r="11" ht="22.5" customHeight="1">
      <c r="A11" s="2">
        <v>10.0</v>
      </c>
      <c r="B11" s="7" t="s">
        <v>111</v>
      </c>
      <c r="C11" s="8" t="s">
        <v>112</v>
      </c>
      <c r="D11" s="2" t="s">
        <v>113</v>
      </c>
    </row>
    <row r="12" ht="22.5" customHeight="1">
      <c r="A12" s="2">
        <v>11.0</v>
      </c>
      <c r="B12" s="7" t="s">
        <v>114</v>
      </c>
      <c r="C12" s="8" t="s">
        <v>115</v>
      </c>
      <c r="D12" s="2" t="s">
        <v>116</v>
      </c>
    </row>
    <row r="13" ht="22.5" customHeight="1">
      <c r="A13" s="2">
        <v>12.0</v>
      </c>
      <c r="B13" s="7" t="s">
        <v>117</v>
      </c>
      <c r="C13" s="8" t="s">
        <v>118</v>
      </c>
      <c r="D13" s="2" t="s">
        <v>119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30.38"/>
    <col customWidth="1" min="3" max="3" width="55.25"/>
    <col customWidth="1" min="4" max="4" width="37.63"/>
  </cols>
  <sheetData>
    <row r="1" ht="22.5" customHeight="1">
      <c r="A1" s="9" t="s">
        <v>6</v>
      </c>
      <c r="B1" s="9" t="s">
        <v>7</v>
      </c>
      <c r="C1" s="10" t="s">
        <v>8</v>
      </c>
      <c r="D1" s="9" t="s">
        <v>9</v>
      </c>
    </row>
    <row r="2" ht="22.5" customHeight="1">
      <c r="A2" s="6">
        <v>1.0</v>
      </c>
      <c r="B2" s="7" t="s">
        <v>120</v>
      </c>
      <c r="C2" s="8" t="s">
        <v>121</v>
      </c>
      <c r="D2" s="2" t="s">
        <v>122</v>
      </c>
    </row>
    <row r="3" ht="22.5" customHeight="1">
      <c r="A3" s="6">
        <v>2.0</v>
      </c>
      <c r="B3" s="7" t="s">
        <v>123</v>
      </c>
      <c r="C3" s="8" t="s">
        <v>124</v>
      </c>
      <c r="D3" s="2" t="s">
        <v>125</v>
      </c>
    </row>
    <row r="4" ht="22.5" customHeight="1">
      <c r="A4" s="6">
        <v>3.0</v>
      </c>
      <c r="B4" s="7" t="s">
        <v>126</v>
      </c>
      <c r="C4" s="8" t="s">
        <v>127</v>
      </c>
      <c r="D4" s="2" t="s">
        <v>128</v>
      </c>
    </row>
    <row r="5" ht="22.5" customHeight="1">
      <c r="A5" s="6">
        <v>4.0</v>
      </c>
      <c r="B5" s="7" t="s">
        <v>129</v>
      </c>
      <c r="C5" s="8" t="s">
        <v>130</v>
      </c>
      <c r="D5" s="2" t="s">
        <v>131</v>
      </c>
    </row>
    <row r="6" ht="22.5" customHeight="1">
      <c r="A6" s="6">
        <v>5.0</v>
      </c>
      <c r="B6" s="7" t="s">
        <v>132</v>
      </c>
      <c r="C6" s="8" t="s">
        <v>133</v>
      </c>
      <c r="D6" s="2" t="s">
        <v>134</v>
      </c>
    </row>
    <row r="7" ht="22.5" customHeight="1">
      <c r="A7" s="6">
        <v>6.0</v>
      </c>
      <c r="B7" s="7" t="s">
        <v>135</v>
      </c>
      <c r="C7" s="8" t="s">
        <v>136</v>
      </c>
      <c r="D7" s="2" t="s">
        <v>137</v>
      </c>
    </row>
    <row r="8" ht="22.5" customHeight="1">
      <c r="A8" s="6">
        <v>7.0</v>
      </c>
      <c r="B8" s="7" t="s">
        <v>138</v>
      </c>
      <c r="C8" s="8" t="s">
        <v>139</v>
      </c>
      <c r="D8" s="2" t="s">
        <v>140</v>
      </c>
    </row>
    <row r="9" ht="22.5" customHeight="1">
      <c r="A9" s="6">
        <v>8.0</v>
      </c>
      <c r="B9" s="7" t="s">
        <v>141</v>
      </c>
      <c r="C9" s="8" t="s">
        <v>142</v>
      </c>
      <c r="D9" s="2" t="s">
        <v>143</v>
      </c>
    </row>
    <row r="10" ht="22.5" customHeight="1">
      <c r="A10" s="6">
        <v>9.0</v>
      </c>
      <c r="B10" s="7" t="s">
        <v>144</v>
      </c>
      <c r="C10" s="8" t="s">
        <v>145</v>
      </c>
      <c r="D10" s="2" t="s">
        <v>146</v>
      </c>
    </row>
    <row r="11" ht="22.5" customHeight="1">
      <c r="A11" s="6">
        <v>10.0</v>
      </c>
      <c r="B11" s="7" t="s">
        <v>147</v>
      </c>
      <c r="C11" s="8" t="s">
        <v>148</v>
      </c>
      <c r="D11" s="2" t="s">
        <v>149</v>
      </c>
    </row>
  </sheetData>
  <dataValidations>
    <dataValidation type="custom" allowBlank="1" showDropDown="1" sqref="A2:A1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18.5"/>
    <col customWidth="1" min="3" max="3" width="34.0"/>
    <col customWidth="1" min="4" max="4" width="30.25"/>
    <col customWidth="1" min="5" max="5" width="26.13"/>
    <col customWidth="1" min="6" max="6" width="20.63"/>
    <col customWidth="1" min="7" max="7" width="19.88"/>
  </cols>
  <sheetData>
    <row r="1" ht="22.5" customHeight="1">
      <c r="A1" s="11" t="s">
        <v>6</v>
      </c>
      <c r="B1" s="10" t="s">
        <v>7</v>
      </c>
      <c r="C1" s="10" t="s">
        <v>8</v>
      </c>
      <c r="D1" s="10" t="s">
        <v>150</v>
      </c>
      <c r="E1" s="10" t="s">
        <v>151</v>
      </c>
      <c r="F1" s="10" t="s">
        <v>152</v>
      </c>
      <c r="G1" s="10" t="s">
        <v>153</v>
      </c>
    </row>
    <row r="2" ht="22.5" customHeight="1">
      <c r="A2" s="12">
        <v>1.0</v>
      </c>
      <c r="B2" s="13" t="s">
        <v>154</v>
      </c>
      <c r="C2" s="8" t="s">
        <v>155</v>
      </c>
      <c r="D2" s="8" t="s">
        <v>156</v>
      </c>
      <c r="E2" s="8" t="s">
        <v>157</v>
      </c>
      <c r="F2" s="8" t="s">
        <v>158</v>
      </c>
      <c r="G2" s="8" t="s">
        <v>159</v>
      </c>
    </row>
    <row r="3" ht="22.5" customHeight="1">
      <c r="A3" s="12">
        <v>2.0</v>
      </c>
      <c r="B3" s="13" t="s">
        <v>160</v>
      </c>
      <c r="C3" s="8" t="s">
        <v>161</v>
      </c>
      <c r="D3" s="8" t="s">
        <v>162</v>
      </c>
      <c r="E3" s="8" t="s">
        <v>163</v>
      </c>
      <c r="F3" s="8" t="s">
        <v>164</v>
      </c>
      <c r="G3" s="8" t="s">
        <v>165</v>
      </c>
    </row>
    <row r="4" ht="22.5" customHeight="1">
      <c r="A4" s="12">
        <v>3.0</v>
      </c>
      <c r="B4" s="13" t="s">
        <v>166</v>
      </c>
      <c r="C4" s="8" t="s">
        <v>167</v>
      </c>
      <c r="D4" s="8" t="s">
        <v>168</v>
      </c>
      <c r="E4" s="8" t="s">
        <v>169</v>
      </c>
      <c r="F4" s="8" t="s">
        <v>170</v>
      </c>
      <c r="G4" s="8" t="s">
        <v>171</v>
      </c>
    </row>
    <row r="5" ht="22.5" customHeight="1">
      <c r="A5" s="12">
        <v>4.0</v>
      </c>
      <c r="B5" s="13" t="s">
        <v>172</v>
      </c>
      <c r="C5" s="8" t="s">
        <v>173</v>
      </c>
      <c r="D5" s="8" t="s">
        <v>156</v>
      </c>
      <c r="E5" s="8" t="s">
        <v>174</v>
      </c>
      <c r="F5" s="8" t="s">
        <v>175</v>
      </c>
      <c r="G5" s="8" t="s">
        <v>176</v>
      </c>
    </row>
    <row r="6" ht="22.5" customHeight="1">
      <c r="A6" s="12">
        <v>5.0</v>
      </c>
      <c r="B6" s="13" t="s">
        <v>177</v>
      </c>
      <c r="C6" s="8" t="s">
        <v>178</v>
      </c>
      <c r="D6" s="8" t="s">
        <v>179</v>
      </c>
      <c r="E6" s="8" t="s">
        <v>180</v>
      </c>
      <c r="F6" s="8" t="s">
        <v>181</v>
      </c>
      <c r="G6" s="8" t="s">
        <v>182</v>
      </c>
    </row>
    <row r="7" ht="22.5" customHeight="1">
      <c r="A7" s="12">
        <v>6.0</v>
      </c>
      <c r="B7" s="13" t="s">
        <v>183</v>
      </c>
      <c r="C7" s="8" t="s">
        <v>184</v>
      </c>
      <c r="D7" s="8" t="s">
        <v>185</v>
      </c>
      <c r="E7" s="8" t="s">
        <v>186</v>
      </c>
      <c r="F7" s="8" t="s">
        <v>187</v>
      </c>
      <c r="G7" s="8" t="s">
        <v>188</v>
      </c>
    </row>
    <row r="8" ht="22.5" customHeight="1">
      <c r="A8" s="12">
        <v>7.0</v>
      </c>
      <c r="B8" s="13" t="s">
        <v>189</v>
      </c>
      <c r="C8" s="8" t="s">
        <v>190</v>
      </c>
      <c r="D8" s="8" t="s">
        <v>191</v>
      </c>
      <c r="E8" s="8" t="s">
        <v>192</v>
      </c>
      <c r="F8" s="8" t="s">
        <v>193</v>
      </c>
      <c r="G8" s="8" t="s">
        <v>194</v>
      </c>
    </row>
    <row r="9" ht="22.5" customHeight="1">
      <c r="A9" s="12">
        <v>8.0</v>
      </c>
      <c r="B9" s="13" t="s">
        <v>195</v>
      </c>
      <c r="C9" s="8" t="s">
        <v>196</v>
      </c>
      <c r="D9" s="8" t="s">
        <v>197</v>
      </c>
      <c r="E9" s="8" t="s">
        <v>198</v>
      </c>
      <c r="F9" s="8" t="s">
        <v>199</v>
      </c>
      <c r="G9" s="8" t="s">
        <v>200</v>
      </c>
    </row>
    <row r="10" ht="22.5" customHeight="1">
      <c r="A10" s="12">
        <v>9.0</v>
      </c>
      <c r="B10" s="13" t="s">
        <v>201</v>
      </c>
      <c r="C10" s="8" t="s">
        <v>202</v>
      </c>
      <c r="D10" s="8" t="s">
        <v>203</v>
      </c>
      <c r="E10" s="8" t="s">
        <v>204</v>
      </c>
      <c r="F10" s="8" t="s">
        <v>205</v>
      </c>
      <c r="G10" s="8" t="s">
        <v>206</v>
      </c>
    </row>
    <row r="11" ht="22.5" customHeight="1">
      <c r="A11" s="12">
        <v>10.0</v>
      </c>
      <c r="B11" s="13" t="s">
        <v>207</v>
      </c>
      <c r="C11" s="8" t="s">
        <v>208</v>
      </c>
      <c r="D11" s="8" t="s">
        <v>209</v>
      </c>
      <c r="E11" s="8" t="s">
        <v>210</v>
      </c>
      <c r="F11" s="8" t="s">
        <v>211</v>
      </c>
      <c r="G11" s="8" t="s">
        <v>212</v>
      </c>
    </row>
    <row r="12" ht="22.5" customHeight="1">
      <c r="A12" s="12">
        <v>11.0</v>
      </c>
      <c r="B12" s="13" t="s">
        <v>213</v>
      </c>
      <c r="C12" s="8" t="s">
        <v>214</v>
      </c>
      <c r="D12" s="8" t="s">
        <v>156</v>
      </c>
      <c r="E12" s="8" t="s">
        <v>215</v>
      </c>
      <c r="F12" s="8" t="s">
        <v>216</v>
      </c>
      <c r="G12" s="8" t="s">
        <v>217</v>
      </c>
    </row>
    <row r="13" ht="22.5" customHeight="1">
      <c r="A13" s="12">
        <v>12.0</v>
      </c>
      <c r="B13" s="13" t="s">
        <v>218</v>
      </c>
      <c r="C13" s="8" t="s">
        <v>219</v>
      </c>
      <c r="D13" s="8" t="s">
        <v>220</v>
      </c>
      <c r="E13" s="8" t="s">
        <v>221</v>
      </c>
      <c r="F13" s="8" t="s">
        <v>222</v>
      </c>
      <c r="G13" s="8" t="s">
        <v>223</v>
      </c>
    </row>
  </sheetData>
  <dataValidations>
    <dataValidation type="custom" allowBlank="1" showDropDown="1" sqref="A2:A13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